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3a4d335e1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Audit Checklist" sheetId="1" r:id="Ra384262392364a90"/>
    <x:sheet xmlns:r="http://schemas.openxmlformats.org/officeDocument/2006/relationships" name="Summary" sheetId="2" r:id="Raf1742d524a2428c"/>
    <x:sheet xmlns:r="http://schemas.openxmlformats.org/officeDocument/2006/relationships" name="Definitions" sheetId="3" r:id="R7a4a4e70fc99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1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0369A1"/>
      </x:font>
      <x:fill>
        <x:patternFill patternType="solid">
          <x:bgColor rgb="FFE0F2FE"/>
        </x:patternFill>
      </x:fill>
    </x:dxf>
    <x:dxf>
      <x:font>
        <x:color rgb="FF7E22CE"/>
      </x:font>
      <x:fill>
        <x:patternFill patternType="solid">
          <x:bgColor rgb="FF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75d7625534a07" /><Relationship Type="http://schemas.openxmlformats.org/officeDocument/2006/relationships/theme" Target="/xl/theme/theme1.xml" Id="R9253dc943a9248fe" /><Relationship Type="http://schemas.openxmlformats.org/officeDocument/2006/relationships/sharedStrings" Target="/xl/sharedStrings.xml" Id="Rdeb41f0b8d99499e" /><Relationship Type="http://schemas.openxmlformats.org/officeDocument/2006/relationships/worksheet" Target="/xl/worksheets/sheet1.xml" Id="Ra384262392364a90" /><Relationship Type="http://schemas.openxmlformats.org/officeDocument/2006/relationships/worksheet" Target="/xl/worksheets/sheet2.xml" Id="Raf1742d524a2428c" /><Relationship Type="http://schemas.openxmlformats.org/officeDocument/2006/relationships/worksheet" Target="/xl/worksheets/sheet3.xml" Id="R7a4a4e70fc9944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248597ca4047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检查项优先级分布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248597ca4047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AuditTable" displayName="MasterAuditTable" ref="A4:N84" headerRowCount="1" totalsRowCount="0" totalsRowShown="0">
  <x:tableColumns count="14">
    <x:tableColumn id="1" name="id"/>
    <x:tableColumn id="2" name="category"/>
    <x:tableColumn id="3" name="check"/>
    <x:tableColumn id="4" name="description"/>
    <x:tableColumn id="5" name="priority"/>
    <x:tableColumn id="6" name="detection_method"/>
    <x:tableColumn id="7" name="tools"/>
    <x:tableColumn id="8" name="remediation"/>
    <x:tableColumn id="9" name="owner"/>
    <x:tableColumn id="10" name="status"/>
    <x:tableColumn id="11" name="acceptance_criteria"/>
    <x:tableColumn id="12" name="finding_type"/>
    <x:tableColumn id="13" name="seo_impact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423d51f801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a8a9a8069d3449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44" hidden="0" customWidth="1"/>
    <x:col min="5" max="5" width="12" hidden="0" customWidth="1"/>
    <x:col min="6" max="6" width="40" hidden="0" customWidth="1"/>
    <x:col min="7" max="7" width="28" hidden="0" customWidth="1"/>
    <x:col min="8" max="8" width="46" hidden="0" customWidth="1"/>
    <x:col min="9" max="9" width="16" hidden="0" customWidth="1"/>
    <x:col min="10" max="10" width="12" hidden="0" customWidth="1"/>
    <x:col min="11" max="11" width="44" hidden="0" customWidth="1"/>
    <x:col min="12" max="12" width="16" hidden="0" customWidth="1"/>
    <x:col min="13" max="13" width="22" hidden="0" customWidth="1"/>
    <x:col min="14" max="14" width="36" hidden="0" customWidth="1"/>
  </x:cols>
  <x:sheetData>
    <x:row r="1" ht="28" customHeight="1">
      <x:c r="A1" s="5" t="str">
        <x:v>独立站 / WordPress 技术 SEO Master Audit Checklist（80项）</x:v>
      </x:c>
    </x:row>
    <x:row r="2" ht="32" customHeight="1">
      <x:c r="A2" s="13" t="str">
        <x:v>适用于 WordPress 为主的独立站，也可用于普通企业站、多语言站、B2B 制造业站。已合并原40项+新增40项，并修正过时/易误用规则。</x:v>
      </x:c>
    </x:row>
    <x:row r="4" ht="30" customHeight="1">
      <x:c r="A4" s="22" t="str">
        <x:v>id</x:v>
      </x:c>
      <x:c r="B4" s="22" t="str">
        <x:v>category</x:v>
      </x:c>
      <x:c r="C4" s="22" t="str">
        <x:v>check</x:v>
      </x:c>
      <x:c r="D4" s="22" t="str">
        <x:v>description</x:v>
      </x:c>
      <x:c r="E4" s="22" t="str">
        <x:v>priority</x:v>
      </x:c>
      <x:c r="F4" s="22" t="str">
        <x:v>detection_method</x:v>
      </x:c>
      <x:c r="G4" s="22" t="str">
        <x:v>tools</x:v>
      </x:c>
      <x:c r="H4" s="22" t="str">
        <x:v>remediation</x:v>
      </x:c>
      <x:c r="I4" s="22" t="str">
        <x:v>owner</x:v>
      </x:c>
      <x:c r="J4" s="22" t="str">
        <x:v>status</x:v>
      </x:c>
      <x:c r="K4" s="22" t="str">
        <x:v>acceptance_criteria</x:v>
      </x:c>
      <x:c r="L4" s="22" t="str">
        <x:v>finding_type</x:v>
      </x:c>
      <x:c r="M4" s="22" t="str">
        <x:v>seo_impact</x:v>
      </x:c>
      <x:c r="N4" s="22" t="str">
        <x:v>notes</x:v>
      </x:c>
    </x:row>
    <x:row r="5" ht="66" customHeight="1">
      <x:c r="A5" s="30" t="n">
        <x:v>1</x:v>
      </x:c>
      <x:c r="B5" s="30" t="str">
        <x:v>抓取与索引</x:v>
      </x:c>
      <x:c r="C5" s="30" t="str">
        <x:v>robots.txt 存在与规则</x:v>
      </x:c>
      <x:c r="D5" s="30" t="str">
        <x:v>确认 /robots.txt 存在、可访问，未阻挡重要页面，并声明 XML Sitemap。</x:v>
      </x:c>
      <x:c r="E5" s="30" t="str">
        <x:v>Critical</x:v>
      </x:c>
      <x:c r="F5" s="30" t="str">
        <x:v>访问 /robots.txt；用抓取工具和 GSC URL Inspection 验证重要 URL 是否可抓取。</x:v>
      </x:c>
      <x:c r="G5" s="30" t="str">
        <x:v>浏览器, Google Search Console, Screaming Frog</x:v>
      </x:c>
      <x:c r="H5" s="30" t="str">
        <x:v>修正规则；仅限制确实无需抓取的后台/系统路径；添加 Sitemap: 完整地址。</x:v>
      </x:c>
      <x:c r="I5" s="30" t="str">
        <x:v>SEO/Dev</x:v>
      </x:c>
      <x:c r="J5" s="30" t="str">
        <x:v>Open</x:v>
      </x:c>
      <x:c r="K5" s="30" t="str">
        <x:v>/robots.txt 返回 200；重要页面未被 Disallow；包含有效 Sitemap 声明。</x:v>
      </x:c>
      <x:c r="L5" s="30" t="str">
        <x:v>Error</x:v>
      </x:c>
      <x:c r="M5" s="30" t="str">
        <x:v>Crawling/Indexing</x:v>
      </x:c>
      <x:c r="N5" s="30" t="str">
        <x:v>不要用 robots.txt 代替 noindex；需要读取 noindex 的页面必须允许抓取。</x:v>
      </x:c>
    </x:row>
    <x:row r="6" ht="66" customHeight="1">
      <x:c r="A6" s="30" t="n">
        <x:v>2</x:v>
      </x:c>
      <x:c r="B6" s="30" t="str">
        <x:v>抓取与索引</x:v>
      </x:c>
      <x:c r="C6" s="30" t="str">
        <x:v>XML Sitemap 提交与有效性</x:v>
      </x:c>
      <x:c r="D6" s="30" t="str">
        <x:v>站点地图应仅包含重要、规范、可索引 URL，并已提交到 GSC/Bing。</x:v>
      </x:c>
      <x:c r="E6" s="30" t="str">
        <x:v>Critical</x:v>
      </x:c>
      <x:c r="F6" s="30" t="str">
        <x:v>检查 sitemap.xml / sitemap_index.xml；与抓取结果、GSC 索引状态交叉验证。</x:v>
      </x:c>
      <x:c r="G6" s="30" t="str">
        <x:v>Google Search Console, Bing Webmaster, Screaming Frog</x:v>
      </x:c>
      <x:c r="H6" s="30" t="str">
        <x:v>生成/修正 sitemap；移除 3xx、4xx、5xx、noindex、非 canonical、测试 URL，并重新提交。</x:v>
      </x:c>
      <x:c r="I6" s="30" t="str">
        <x:v>SEO</x:v>
      </x:c>
      <x:c r="J6" s="30" t="str">
        <x:v>Open</x:v>
      </x:c>
      <x:c r="K6" s="30" t="str">
        <x:v>Sitemap 中重要 URL 均为 200 + Indexable + Canonical；GSC/Bing 已成功读取。</x:v>
      </x:c>
      <x:c r="L6" s="30" t="str">
        <x:v>Error</x:v>
      </x:c>
      <x:c r="M6" s="30" t="str">
        <x:v>Indexing</x:v>
      </x:c>
      <x:c r="N6" s="30" t="str">
        <x:v>大型站点可拆分 sitemap；WordPress 建议由单一 SEO 插件或核心功能输出。</x:v>
      </x:c>
    </x:row>
    <x:row r="7" ht="66" customHeight="1">
      <x:c r="A7" s="30" t="n">
        <x:v>3</x:v>
      </x:c>
      <x:c r="B7" s="30" t="str">
        <x:v>抓取与索引</x:v>
      </x:c>
      <x:c r="C7" s="30" t="str">
        <x:v>页面 noindex/nofollow 检查</x:v>
      </x:c>
      <x:c r="D7" s="30" t="str">
        <x:v>检测重要页面是否误设置 noindex/nofollow，或被 X-Robots-Tag 阻止。</x:v>
      </x:c>
      <x:c r="E7" s="30" t="str">
        <x:v>Critical</x:v>
      </x:c>
      <x:c r="F7" s="30" t="str">
        <x:v>抓取 meta robots 与 HTTP response headers；抽查核心页面源码。</x:v>
      </x:c>
      <x:c r="G7" s="30" t="str">
        <x:v>Screaming Frog, curl, 浏览器 DevTools</x:v>
      </x:c>
      <x:c r="H7" s="30" t="str">
        <x:v>移除误设置；修正服务器或 CDN 层 X-Robots-Tag；保留有策略意义的 noindex。</x:v>
      </x:c>
      <x:c r="I7" s="30" t="str">
        <x:v>SEO/Dev</x:v>
      </x:c>
      <x:c r="J7" s="30" t="str">
        <x:v>Open</x:v>
      </x:c>
      <x:c r="K7" s="30" t="str">
        <x:v>所有核心商业/内容页面均允许索引；预期 noindex 页面已记录为 Intentional。</x:v>
      </x:c>
      <x:c r="L7" s="30" t="str">
        <x:v>Error</x:v>
      </x:c>
      <x:c r="M7" s="30" t="str">
        <x:v>Indexing</x:v>
      </x:c>
      <x:c r="N7" s="30" t="str">
        <x:v>不要把策略性 noindex 一律当错误。</x:v>
      </x:c>
    </x:row>
    <x:row r="8" ht="66" customHeight="1">
      <x:c r="A8" s="30" t="n">
        <x:v>4</x:v>
      </x:c>
      <x:c r="B8" s="30" t="str">
        <x:v>抓取与索引</x:v>
      </x:c>
      <x:c r="C8" s="30" t="str">
        <x:v>抓取错误 (4xx/5xx)</x:v>
      </x:c>
      <x:c r="D8" s="30" t="str">
        <x:v>识别站内可发现的 4xx/5xx，并区分真实删除、误链、服务器故障。</x:v>
      </x:c>
      <x:c r="E8" s="30" t="str">
        <x:v>High</x:v>
      </x:c>
      <x:c r="F8" s="30" t="str">
        <x:v>Screaming Frog Response Codes + Inlinks；与 GSC、服务器日志对比。</x:v>
      </x:c>
      <x:c r="G8" s="30" t="str">
        <x:v>Screaming Frog, Server Logs, GSC</x:v>
      </x:c>
      <x:c r="H8" s="30" t="str">
        <x:v>修复错误内链；有高度相关替代页时 301；无替代内容返回真实 404/410；修复 5xx 根因。</x:v>
      </x:c>
      <x:c r="I8" s="30" t="str">
        <x:v>Dev/SEO</x:v>
      </x:c>
      <x:c r="J8" s="30" t="str">
        <x:v>Open</x:v>
      </x:c>
      <x:c r="K8" s="30" t="str">
        <x:v>核心页面返回 200；站内错误链接接近 0；无持续性 5xx。</x:v>
      </x:c>
      <x:c r="L8" s="30" t="str">
        <x:v>Error</x:v>
      </x:c>
      <x:c r="M8" s="30" t="str">
        <x:v>Crawling/Indexing</x:v>
      </x:c>
      <x:c r="N8" s="30" t="str">
        <x:v>不要把所有 404 统一 301 到首页。</x:v>
      </x:c>
    </x:row>
    <x:row r="9" ht="66" customHeight="1">
      <x:c r="A9" s="30" t="n">
        <x:v>5</x:v>
      </x:c>
      <x:c r="B9" s="30" t="str">
        <x:v>抓取与索引</x:v>
      </x:c>
      <x:c r="C9" s="30" t="str">
        <x:v>抓取预算浪费</x:v>
      </x:c>
      <x:c r="D9" s="30" t="str">
        <x:v>检测参数、筛选、站内搜索、日历、会话 URL 等无价值抓取空间。</x:v>
      </x:c>
      <x:c r="E9" s="30" t="str">
        <x:v>High</x:v>
      </x:c>
      <x:c r="F9" s="30" t="str">
        <x:v>分析爬虫 URL 模式、GSC Crawl Stats、服务器日志高频路径。</x:v>
      </x:c>
      <x:c r="G9" s="30" t="str">
        <x:v>Server Logs, Screaming Frog, GSC</x:v>
      </x:c>
      <x:c r="H9" s="30" t="str">
        <x:v>通过信息架构、内部链接、canonical、noindex、robots.txt（仅控制抓取）等组合治理；减少无限 URL 生成。</x:v>
      </x:c>
      <x:c r="I9" s="30" t="str">
        <x:v>SEO/Dev</x:v>
      </x:c>
      <x:c r="J9" s="30" t="str">
        <x:v>Open</x:v>
      </x:c>
      <x:c r="K9" s="30" t="str">
        <x:v>高频无效 URL 数量与抓取占比明显下降，重要 URL 抓取稳定。</x:v>
      </x:c>
      <x:c r="L9" s="30" t="str">
        <x:v>Warning</x:v>
      </x:c>
      <x:c r="M9" s="30" t="str">
        <x:v>Crawling</x:v>
      </x:c>
      <x:c r="N9" s="30" t="str">
        <x:v>Google 已下线 URL Parameters 工具，不再依赖 GSC 参数设置。</x:v>
      </x:c>
    </x:row>
    <x:row r="10" ht="66" customHeight="1">
      <x:c r="A10" s="30" t="n">
        <x:v>6</x:v>
      </x:c>
      <x:c r="B10" s="30" t="str">
        <x:v>URL 与重定向</x:v>
      </x:c>
      <x:c r="C10" s="30" t="str">
        <x:v>统一域名与协议</x:v>
      </x:c>
      <x:c r="D10" s="30" t="str">
        <x:v>确保 HTTP/HTTPS、www/non-www 等版本统一到唯一规范主机名。</x:v>
      </x:c>
      <x:c r="E10" s="30" t="str">
        <x:v>Critical</x:v>
      </x:c>
      <x:c r="F10" s="30" t="str">
        <x:v>访问各变体并检查状态码、Location 和最终 URL。</x:v>
      </x:c>
      <x:c r="G10" s="30" t="str">
        <x:v>curl -I, 浏览器, Screaming Frog</x:v>
      </x:c>
      <x:c r="H10" s="30" t="str">
        <x:v>配置服务器/CDN 级 301，统一 https 与首选域名。</x:v>
      </x:c>
      <x:c r="I10" s="30" t="str">
        <x:v>Dev/Infra</x:v>
      </x:c>
      <x:c r="J10" s="30" t="str">
        <x:v>Open</x:v>
      </x:c>
      <x:c r="K10" s="30" t="str">
        <x:v>所有非规范域名/协议变体单跳 301 到最终 https 规范 URL。</x:v>
      </x:c>
      <x:c r="L10" s="30" t="str">
        <x:v>Error</x:v>
      </x:c>
      <x:c r="M10" s="30" t="str">
        <x:v>Indexing/Crawling</x:v>
      </x:c>
      <x:c r="N10" s="30" t="str">
        <x:v>同步统一 canonical、sitemap、hreflang 与内部链接。</x:v>
      </x:c>
    </x:row>
    <x:row r="11" ht="66" customHeight="1">
      <x:c r="A11" s="30" t="n">
        <x:v>7</x:v>
      </x:c>
      <x:c r="B11" s="30" t="str">
        <x:v>URL 与重定向</x:v>
      </x:c>
      <x:c r="C11" s="30" t="str">
        <x:v>301/302 使用与重定向链</x:v>
      </x:c>
      <x:c r="D11" s="30" t="str">
        <x:v>识别不当临时重定向、链式跳转、循环与多跳。</x:v>
      </x:c>
      <x:c r="E11" s="30" t="str">
        <x:v>High</x:v>
      </x:c>
      <x:c r="F11" s="30" t="str">
        <x:v>抓取 Redirect Chains / Response Codes。</x:v>
      </x:c>
      <x:c r="G11" s="30" t="str">
        <x:v>Screaming Frog, Chrome DevTools</x:v>
      </x:c>
      <x:c r="H11" s="30" t="str">
        <x:v>永久迁移使用 301/308；临时才用 302/307；把站内链接直接改到最终目标。</x:v>
      </x:c>
      <x:c r="I11" s="30" t="str">
        <x:v>Dev</x:v>
      </x:c>
      <x:c r="J11" s="30" t="str">
        <x:v>Open</x:v>
      </x:c>
      <x:c r="K11" s="30" t="str">
        <x:v>重要旧 URL 到最终页 ≤1 次跳转，无循环或链式重定向。</x:v>
      </x:c>
      <x:c r="L11" s="30" t="str">
        <x:v>Error</x:v>
      </x:c>
      <x:c r="M11" s="30" t="str">
        <x:v>Crawling/Ranking</x:v>
      </x:c>
      <x:c r="N11" s="30" t="str">
        <x:v>历史迁移 URL 可长期保留 301。</x:v>
      </x:c>
    </x:row>
    <x:row r="12" ht="66" customHeight="1">
      <x:c r="A12" s="30" t="n">
        <x:v>8</x:v>
      </x:c>
      <x:c r="B12" s="30" t="str">
        <x:v>URL 与重定向</x:v>
      </x:c>
      <x:c r="C12" s="30" t="str">
        <x:v>canonical 标签正确性</x:v>
      </x:c>
      <x:c r="D12" s="30" t="str">
        <x:v>检查 canonical 是否唯一、可抓取、返回 200，并与页面意图一致。</x:v>
      </x:c>
      <x:c r="E12" s="30" t="str">
        <x:v>High</x:v>
      </x:c>
      <x:c r="F12" s="30" t="str">
        <x:v>抓取 Canonicals；抽查源码；与 GSC Google-selected canonical 对比。</x:v>
      </x:c>
      <x:c r="G12" s="30" t="str">
        <x:v>Screaming Frog, GSC, 手工检查</x:v>
      </x:c>
      <x:c r="H12" s="30" t="str">
        <x:v>修正错误、跨语言误 canonical、指向 3xx/4xx/noindex 的 canonical；必要时删除冲突输出。</x:v>
      </x:c>
      <x:c r="I12" s="30" t="str">
        <x:v>SEO/Dev</x:v>
      </x:c>
      <x:c r="J12" s="30" t="str">
        <x:v>Open</x:v>
      </x:c>
      <x:c r="K12" s="30" t="str">
        <x:v>核心页面 canonical 指向预期规范 URL；无多重/冲突 canonical。</x:v>
      </x:c>
      <x:c r="L12" s="30" t="str">
        <x:v>Error</x:v>
      </x:c>
      <x:c r="M12" s="30" t="str">
        <x:v>Indexing/Ranking</x:v>
      </x:c>
      <x:c r="N12" s="30" t="str">
        <x:v>独立多语言页面通常应 self-canonical。</x:v>
      </x:c>
    </x:row>
    <x:row r="13" ht="66" customHeight="1">
      <x:c r="A13" s="30" t="n">
        <x:v>9</x:v>
      </x:c>
      <x:c r="B13" s="30" t="str">
        <x:v>站点架构</x:v>
      </x:c>
      <x:c r="C13" s="30" t="str">
        <x:v>点击深度</x:v>
      </x:c>
      <x:c r="D13" s="30" t="str">
        <x:v>检查重要页面是否距首页过深，导致发现、权重传递和用户路径变差。</x:v>
      </x:c>
      <x:c r="E13" s="30" t="str">
        <x:v>High</x:v>
      </x:c>
      <x:c r="F13" s="30" t="str">
        <x:v>抓取 Crawl Depth、Site Structure；人工检查导航路径。</x:v>
      </x:c>
      <x:c r="G13" s="30" t="str">
        <x:v>Screaming Frog, Sitebulb</x:v>
      </x:c>
      <x:c r="H13" s="30" t="str">
        <x:v>调整主导航/分类/聚合页；增加相关上下文内链。</x:v>
      </x:c>
      <x:c r="I13" s="30" t="str">
        <x:v>SEO/Product</x:v>
      </x:c>
      <x:c r="J13" s="30" t="str">
        <x:v>Open</x:v>
      </x:c>
      <x:c r="K13" s="30" t="str">
        <x:v>核心商业页面通常 ≤3 次点击可达，或有强相关高权重入口。</x:v>
      </x:c>
      <x:c r="L13" s="30" t="str">
        <x:v>Opportunity</x:v>
      </x:c>
      <x:c r="M13" s="30" t="str">
        <x:v>Crawling/Ranking</x:v>
      </x:c>
      <x:c r="N13" s="30" t="str">
        <x:v>不要机械追求所有页面 ≤3 层；按业务重要度分级。</x:v>
      </x:c>
    </x:row>
    <x:row r="14" ht="66" customHeight="1">
      <x:c r="A14" s="30" t="n">
        <x:v>10</x:v>
      </x:c>
      <x:c r="B14" s="30" t="str">
        <x:v>站点架构</x:v>
      </x:c>
      <x:c r="C14" s="30" t="str">
        <x:v>面包屑与 Breadcrumb Schema</x:v>
      </x:c>
      <x:c r="D14" s="30" t="str">
        <x:v>关键层级页是否有可用面包屑，并输出一致的 BreadcrumbList。</x:v>
      </x:c>
      <x:c r="E14" s="30" t="str">
        <x:v>Medium</x:v>
      </x:c>
      <x:c r="F14" s="30" t="str">
        <x:v>人工检查前台与 JSON-LD；结构化数据测试。</x:v>
      </x:c>
      <x:c r="G14" s="30" t="str">
        <x:v>浏览器 DevTools, Rich Results Test</x:v>
      </x:c>
      <x:c r="H14" s="30" t="str">
        <x:v>在主题/插件中统一输出面包屑；避免多个组件重复输出。</x:v>
      </x:c>
      <x:c r="I14" s="30" t="str">
        <x:v>Dev/SEO</x:v>
      </x:c>
      <x:c r="J14" s="30" t="str">
        <x:v>Open</x:v>
      </x:c>
      <x:c r="K14" s="30" t="str">
        <x:v>面包屑可见、层级合理；BreadcrumbList 无严重错误且与可见路径一致。</x:v>
      </x:c>
      <x:c r="L14" s="30" t="str">
        <x:v>Opportunity</x:v>
      </x:c>
      <x:c r="M14" s="30" t="str">
        <x:v>UX/Ranking</x:v>
      </x:c>
      <x:c r="N14" s="30" t="str">
        <x:v>对深层产品/博客页优先。</x:v>
      </x:c>
    </x:row>
    <x:row r="15" ht="66" customHeight="1">
      <x:c r="A15" s="30" t="n">
        <x:v>11</x:v>
      </x:c>
      <x:c r="B15" s="30" t="str">
        <x:v>站点架构</x:v>
      </x:c>
      <x:c r="C15" s="30" t="str">
        <x:v>内部链接分布</x:v>
      </x:c>
      <x:c r="D15" s="30" t="str">
        <x:v>识别孤岛页、内链过少、锚文本弱、重要页链接权重不足。</x:v>
      </x:c>
      <x:c r="E15" s="30" t="str">
        <x:v>High</x:v>
      </x:c>
      <x:c r="F15" s="30" t="str">
        <x:v>统计 Inlinks、Unique Inlinks、Link Score、Anchor Text；与 GSC 落地页对比。</x:v>
      </x:c>
      <x:c r="G15" s="30" t="str">
        <x:v>Screaming Frog, GSC</x:v>
      </x:c>
      <x:c r="H15" s="30" t="str">
        <x:v>从相关分类、产品、文章和高权重页面增加上下文内链；使用描述性锚文本。</x:v>
      </x:c>
      <x:c r="I15" s="30" t="str">
        <x:v>Content/SEO</x:v>
      </x:c>
      <x:c r="J15" s="30" t="str">
        <x:v>Open</x:v>
      </x:c>
      <x:c r="K15" s="30" t="str">
        <x:v>重点页面有多个相关内链来源且可稳定被抓取；无重要孤岛页。</x:v>
      </x:c>
      <x:c r="L15" s="30" t="str">
        <x:v>Error</x:v>
      </x:c>
      <x:c r="M15" s="30" t="str">
        <x:v>Crawling/Ranking</x:v>
      </x:c>
      <x:c r="N15" s="30" t="str">
        <x:v>不建议用固定“≥3”作为唯一验收标准，应看来源质量和上下文相关性。</x:v>
      </x:c>
    </x:row>
    <x:row r="16" ht="66" customHeight="1">
      <x:c r="A16" s="30" t="n">
        <x:v>12</x:v>
      </x:c>
      <x:c r="B16" s="30" t="str">
        <x:v>站点架构</x:v>
      </x:c>
      <x:c r="C16" s="30" t="str">
        <x:v>分页与筛选 (Faceted Navigation)</x:v>
      </x:c>
      <x:c r="D16" s="30" t="str">
        <x:v>防止分页与筛选产生大量重复、低价值、无限可抓取 URL。</x:v>
      </x:c>
      <x:c r="E16" s="30" t="str">
        <x:v>High</x:v>
      </x:c>
      <x:c r="F16" s="30" t="str">
        <x:v>识别分页/参数组合；检查 canonical、indexability、内链与日志。</x:v>
      </x:c>
      <x:c r="G16" s="30" t="str">
        <x:v>Screaming Frog, Server Logs</x:v>
      </x:c>
      <x:c r="H16" s="30" t="str">
        <x:v>分页页通常保持独立可抓取 URL 与 self-canonical；筛选组合按价值决定 index/noindex/canonical/链接控制。</x:v>
      </x:c>
      <x:c r="I16" s="30" t="str">
        <x:v>Dev/SEO</x:v>
      </x:c>
      <x:c r="J16" s="30" t="str">
        <x:v>Open</x:v>
      </x:c>
      <x:c r="K16" s="30" t="str">
        <x:v>重要分页可被发现；低价值筛选不会大规模索引或制造无限抓取。</x:v>
      </x:c>
      <x:c r="L16" s="30" t="str">
        <x:v>Error</x:v>
      </x:c>
      <x:c r="M16" s="30" t="str">
        <x:v>Crawling/Indexing</x:v>
      </x:c>
      <x:c r="N16" s="30" t="str">
        <x:v>不要把正常分页一律 canonical 到第一页。</x:v>
      </x:c>
    </x:row>
    <x:row r="17" ht="66" customHeight="1">
      <x:c r="A17" s="30" t="n">
        <x:v>13</x:v>
      </x:c>
      <x:c r="B17" s="30" t="str">
        <x:v>内容与元数据</x:v>
      </x:c>
      <x:c r="C17" s="30" t="str">
        <x:v>Title 唯一性与搜索意图</x:v>
      </x:c>
      <x:c r="D17" s="30" t="str">
        <x:v>每个核心页面 Title 应独特、准确表达页面主题，并覆盖主要搜索意图。</x:v>
      </x:c>
      <x:c r="E17" s="30" t="str">
        <x:v>High</x:v>
      </x:c>
      <x:c r="F17" s="30" t="str">
        <x:v>抓取 Missing/Duplicate/Over Pixels；结合 GSC CTR 与目标关键词人工评估。</x:v>
      </x:c>
      <x:c r="G17" s="30" t="str">
        <x:v>Screaming Frog, GSC, Semrush</x:v>
      </x:c>
      <x:c r="H17" s="30" t="str">
        <x:v>为重复/缺失/低 CTR 页面重写 Title；把主关键词和商业属性放在前部。</x:v>
      </x:c>
      <x:c r="I17" s="30" t="str">
        <x:v>Content/SEO</x:v>
      </x:c>
      <x:c r="J17" s="30" t="str">
        <x:v>Open</x:v>
      </x:c>
      <x:c r="K17" s="30" t="str">
        <x:v>核心页面 Title 唯一、主题明确，无明显模板重复或严重截断。</x:v>
      </x:c>
      <x:c r="L17" s="30" t="str">
        <x:v>Opportunity</x:v>
      </x:c>
      <x:c r="M17" s="30" t="str">
        <x:v>CTR/Ranking</x:v>
      </x:c>
      <x:c r="N17" s="30" t="str">
        <x:v>长度不是绝对排名因子，优先保证语义与点击吸引力。</x:v>
      </x:c>
    </x:row>
    <x:row r="18" ht="66" customHeight="1">
      <x:c r="A18" s="30" t="n">
        <x:v>14</x:v>
      </x:c>
      <x:c r="B18" s="30" t="str">
        <x:v>内容与元数据</x:v>
      </x:c>
      <x:c r="C18" s="30" t="str">
        <x:v>Meta Description</x:v>
      </x:c>
      <x:c r="D18" s="30" t="str">
        <x:v>检查描述缺失、重复、占位符、与页面不匹配及低 CTR 页面。</x:v>
      </x:c>
      <x:c r="E18" s="30" t="str">
        <x:v>Medium</x:v>
      </x:c>
      <x:c r="F18" s="30" t="str">
        <x:v>抓取 Description；结合 GSC CTR、SERP 展示人工抽查。</x:v>
      </x:c>
      <x:c r="G18" s="30" t="str">
        <x:v>Screaming Frog, GSC</x:v>
      </x:c>
      <x:c r="H18" s="30" t="str">
        <x:v>撰写独特、具体、可转化的描述；突出产品/应用/差异化/CTA。</x:v>
      </x:c>
      <x:c r="I18" s="30" t="str">
        <x:v>Content/SEO</x:v>
      </x:c>
      <x:c r="J18" s="30" t="str">
        <x:v>Open</x:v>
      </x:c>
      <x:c r="K18" s="30" t="str">
        <x:v>重点页面 Description 与实际内容一致、无模板重复，CTR 异常页已优化。</x:v>
      </x:c>
      <x:c r="L18" s="30" t="str">
        <x:v>Opportunity</x:v>
      </x:c>
      <x:c r="M18" s="30" t="str">
        <x:v>CTR</x:v>
      </x:c>
      <x:c r="N18" s="30" t="str">
        <x:v>Google 可能重写 Description，验收以页面质量和 CTR 改善为主。</x:v>
      </x:c>
    </x:row>
    <x:row r="19" ht="66" customHeight="1">
      <x:c r="A19" s="30" t="n">
        <x:v>15</x:v>
      </x:c>
      <x:c r="B19" s="30" t="str">
        <x:v>内容与元数据</x:v>
      </x:c>
      <x:c r="C19" s="30" t="str">
        <x:v>H1 与标题层级</x:v>
      </x:c>
      <x:c r="D19" s="30" t="str">
        <x:v>检查 H1 缺失、模板重复、页面主题不清及 H2/H3 层级混乱。</x:v>
      </x:c>
      <x:c r="E19" s="30" t="str">
        <x:v>Medium</x:v>
      </x:c>
      <x:c r="F19" s="30" t="str">
        <x:v>抓取 H1/H2；人工检查模板与正文层级。</x:v>
      </x:c>
      <x:c r="G19" s="30" t="str">
        <x:v>Screaming Frog, 手工检查</x:v>
      </x:c>
      <x:c r="H19" s="30" t="str">
        <x:v>每个核心页面设置清晰的主 H1；修复因模板造成的重复/缺失；保持语义层级。</x:v>
      </x:c>
      <x:c r="I19" s="30" t="str">
        <x:v>Dev/Content</x:v>
      </x:c>
      <x:c r="J19" s="30" t="str">
        <x:v>Open</x:v>
      </x:c>
      <x:c r="K19" s="30" t="str">
        <x:v>核心页面存在明确主 H1 且与 Title/正文意图一致；无模板性严重重复。</x:v>
      </x:c>
      <x:c r="L19" s="30" t="str">
        <x:v>Error</x:v>
      </x:c>
      <x:c r="M19" s="30" t="str">
        <x:v>Ranking/Accessibility</x:v>
      </x:c>
      <x:c r="N19" s="30" t="str">
        <x:v>SEO 不要求技术上绝对只有一个 H1，但建议保持清晰主标题。</x:v>
      </x:c>
    </x:row>
    <x:row r="20" ht="66" customHeight="1">
      <x:c r="A20" s="30" t="n">
        <x:v>16</x:v>
      </x:c>
      <x:c r="B20" s="30" t="str">
        <x:v>内容与元数据</x:v>
      </x:c>
      <x:c r="C20" s="30" t="str">
        <x:v>薄内容 (Thin / Low-value Content)</x:v>
      </x:c>
      <x:c r="D20" s="30" t="str">
        <x:v>识别缺少实质采购信息、搜索价值低或仅模板拼接的页面。</x:v>
      </x:c>
      <x:c r="E20" s="30" t="str">
        <x:v>High</x:v>
      </x:c>
      <x:c r="F20" s="30" t="str">
        <x:v>结合 Word Count、Near Duplicate、GSC 展示/点击与人工内容评估。</x:v>
      </x:c>
      <x:c r="G20" s="30" t="str">
        <x:v>Screaming Frog, GSC, Manual</x:v>
      </x:c>
      <x:c r="H20" s="30" t="str">
        <x:v>扩充独特价值；合并高度重叠页面；无价值页面可下线并按情况 301/404。</x:v>
      </x:c>
      <x:c r="I20" s="30" t="str">
        <x:v>Content/SEO</x:v>
      </x:c>
      <x:c r="J20" s="30" t="str">
        <x:v>Open</x:v>
      </x:c>
      <x:c r="K20" s="30" t="str">
        <x:v>核心页面具备足够的独特决策信息，不以固定字数作为唯一标准。</x:v>
      </x:c>
      <x:c r="L20" s="30" t="str">
        <x:v>Error</x:v>
      </x:c>
      <x:c r="M20" s="30" t="str">
        <x:v>Ranking/Indexing</x:v>
      </x:c>
      <x:c r="N20" s="30" t="str">
        <x:v>B2B站重点补充材料、MOQ、结构、测试、应用条件、案例。</x:v>
      </x:c>
    </x:row>
    <x:row r="21" ht="66" customHeight="1">
      <x:c r="A21" s="30" t="n">
        <x:v>17</x:v>
      </x:c>
      <x:c r="B21" s="30" t="str">
        <x:v>内容与元数据</x:v>
      </x:c>
      <x:c r="C21" s="30" t="str">
        <x:v>重复/近似重复内容</x:v>
      </x:c>
      <x:c r="D21" s="30" t="str">
        <x:v>检测站内模板重复、同主题竞争、参数/语言副本与外部复制。</x:v>
      </x:c>
      <x:c r="E21" s="30" t="str">
        <x:v>High</x:v>
      </x:c>
      <x:c r="F21" s="30" t="str">
        <x:v>抓取 Exact/Near Duplicates；抽查 SERP 与页面文本。</x:v>
      </x:c>
      <x:c r="G21" s="30" t="str">
        <x:v>Screaming Frog, Sitebulb, Copyscape, Manual</x:v>
      </x:c>
      <x:c r="H21" s="30" t="str">
        <x:v>合并主题、重写差异内容、canonical 或 301；清理无价值副本。</x:v>
      </x:c>
      <x:c r="I21" s="30" t="str">
        <x:v>Content/SEO</x:v>
      </x:c>
      <x:c r="J21" s="30" t="str">
        <x:v>Open</x:v>
      </x:c>
      <x:c r="K21" s="30" t="str">
        <x:v>关键页面主题边界清晰，无大规模内部重复或错误 canonical。</x:v>
      </x:c>
      <x:c r="L21" s="30" t="str">
        <x:v>Error</x:v>
      </x:c>
      <x:c r="M21" s="30" t="str">
        <x:v>Ranking/Indexing</x:v>
      </x:c>
      <x:c r="N21" s="30" t="str">
        <x:v>优先处理造成关键词蚕食的重复。</x:v>
      </x:c>
    </x:row>
    <x:row r="22" ht="66" customHeight="1">
      <x:c r="A22" s="30" t="n">
        <x:v>18</x:v>
      </x:c>
      <x:c r="B22" s="30" t="str">
        <x:v>内容与元数据</x:v>
      </x:c>
      <x:c r="C22" s="30" t="str">
        <x:v>标签/归档/搜索页处理</x:v>
      </x:c>
      <x:c r="D22" s="30" t="str">
        <x:v>确保标签、作者、日期归档、站内搜索等页面符合明确索引策略。</x:v>
      </x:c>
      <x:c r="E22" s="30" t="str">
        <x:v>Medium</x:v>
      </x:c>
      <x:c r="F22" s="30" t="str">
        <x:v>抓取 URL 模式与 meta robots；抽查是否有独立搜索价值。</x:v>
      </x:c>
      <x:c r="G22" s="30" t="str">
        <x:v>Screaming Frog, 手工检查</x:v>
      </x:c>
      <x:c r="H22" s="30" t="str">
        <x:v>无独立价值时 noindex；有价值的聚合页则完善内容、Title、内链并保留索引。</x:v>
      </x:c>
      <x:c r="I22" s="30" t="str">
        <x:v>SEO</x:v>
      </x:c>
      <x:c r="J22" s="30" t="str">
        <x:v>Open</x:v>
      </x:c>
      <x:c r="K22" s="30" t="str">
        <x:v>各类归档/搜索页均按既定策略处理，无大量低价值索引。</x:v>
      </x:c>
      <x:c r="L22" s="30" t="str">
        <x:v>Warning</x:v>
      </x:c>
      <x:c r="M22" s="30" t="str">
        <x:v>Indexing</x:v>
      </x:c>
      <x:c r="N22" s="30" t="str">
        <x:v>不要一刀切 noindex 所有分类页。</x:v>
      </x:c>
    </x:row>
    <x:row r="23" ht="66" customHeight="1">
      <x:c r="A23" s="30" t="n">
        <x:v>19</x:v>
      </x:c>
      <x:c r="B23" s="30" t="str">
        <x:v>技术性能</x:v>
      </x:c>
      <x:c r="C23" s="30" t="str">
        <x:v>Core Web Vitals (LCP/CLS/INP)</x:v>
      </x:c>
      <x:c r="D23" s="30" t="str">
        <x:v>同时用真实用户 Field Data 与 Lab Data 判断核心页面/模板的 CWV。</x:v>
      </x:c>
      <x:c r="E23" s="30" t="str">
        <x:v>Critical</x:v>
      </x:c>
      <x:c r="F23" s="30" t="str">
        <x:v>PageSpeed Insights / CrUX 查看真实用户数据；Lighthouse 定位实验室问题。</x:v>
      </x:c>
      <x:c r="G23" s="30" t="str">
        <x:v>PageSpeed Insights, CrUX, Lighthouse</x:v>
      </x:c>
      <x:c r="H23" s="30" t="str">
        <x:v>优化 LCP 资源、服务器、JS 主线程、布局稳定性和第三方脚本。</x:v>
      </x:c>
      <x:c r="I23" s="30" t="str">
        <x:v>Dev/Performance</x:v>
      </x:c>
      <x:c r="J23" s="30" t="str">
        <x:v>Open</x:v>
      </x:c>
      <x:c r="K23" s="30" t="str">
        <x:v>主要模板真实用户数据达到或接近 LCP≤2.5s、INP≤200ms、CLS≤0.1（75百分位）。</x:v>
      </x:c>
      <x:c r="L23" s="30" t="str">
        <x:v>Error</x:v>
      </x:c>
      <x:c r="M23" s="30" t="str">
        <x:v>Performance/Ranking</x:v>
      </x:c>
      <x:c r="N23" s="30" t="str">
        <x:v>低流量 URL 可能只能参考 origin 级 Field Data。</x:v>
      </x:c>
    </x:row>
    <x:row r="24" ht="66" customHeight="1">
      <x:c r="A24" s="30" t="n">
        <x:v>20</x:v>
      </x:c>
      <x:c r="B24" s="30" t="str">
        <x:v>技术性能</x:v>
      </x:c>
      <x:c r="C24" s="30" t="str">
        <x:v>服务器响应时间 (TTFB)</x:v>
      </x:c>
      <x:c r="D24" s="30" t="str">
        <x:v>检查源站、数据库、PHP、缓存和 CDN 导致的高 TTFB。</x:v>
      </x:c>
      <x:c r="E24" s="30" t="str">
        <x:v>High</x:v>
      </x:c>
      <x:c r="F24" s="30" t="str">
        <x:v>多地区测 TTFB；检查匿名缓存命中；结合服务器慢日志。</x:v>
      </x:c>
      <x:c r="G24" s="30" t="str">
        <x:v>WebPageTest, GTmetrix, curl, Server Profiling</x:v>
      </x:c>
      <x:c r="H24" s="30" t="str">
        <x:v>优化页面缓存、对象缓存、数据库、PHP-FPM、源站配置和 CDN。</x:v>
      </x:c>
      <x:c r="I24" s="30" t="str">
        <x:v>Dev/Infra</x:v>
      </x:c>
      <x:c r="J24" s="30" t="str">
        <x:v>Open</x:v>
      </x:c>
      <x:c r="K24" s="30" t="str">
        <x:v>核心页面 TTFB 显著下降且多次测试稳定；缓存命中正常。</x:v>
      </x:c>
      <x:c r="L24" s="30" t="str">
        <x:v>Warning</x:v>
      </x:c>
      <x:c r="M24" s="30" t="str">
        <x:v>Performance/Crawling</x:v>
      </x:c>
      <x:c r="N24" s="30" t="str">
        <x:v>不同地区与缓存状态分别测试。</x:v>
      </x:c>
    </x:row>
    <x:row r="25" ht="66" customHeight="1">
      <x:c r="A25" s="30" t="n">
        <x:v>21</x:v>
      </x:c>
      <x:c r="B25" s="30" t="str">
        <x:v>技术性能</x:v>
      </x:c>
      <x:c r="C25" s="30" t="str">
        <x:v>渲染阻塞 CSS/JS</x:v>
      </x:c>
      <x:c r="D25" s="30" t="str">
        <x:v>识别阻塞首屏的 CSS/JS、未使用代码与长任务。</x:v>
      </x:c>
      <x:c r="E25" s="30" t="str">
        <x:v>High</x:v>
      </x:c>
      <x:c r="F25" s="30" t="str">
        <x:v>Lighthouse Opportunities；DevTools Coverage/Performance/Network。</x:v>
      </x:c>
      <x:c r="G25" s="30" t="str">
        <x:v>Lighthouse, PageSpeed Insights, Chrome DevTools</x:v>
      </x:c>
      <x:c r="H25" s="30" t="str">
        <x:v>内联必要 Critical CSS；延迟/异步非关键 JS；移除未使用代码和重复库。</x:v>
      </x:c>
      <x:c r="I25" s="30" t="str">
        <x:v>Dev</x:v>
      </x:c>
      <x:c r="J25" s="30" t="str">
        <x:v>Open</x:v>
      </x:c>
      <x:c r="K25" s="30" t="str">
        <x:v>关键页面阻塞时间、长任务与未使用资源显著降低。</x:v>
      </x:c>
      <x:c r="L25" s="30" t="str">
        <x:v>Warning</x:v>
      </x:c>
      <x:c r="M25" s="30" t="str">
        <x:v>Performance</x:v>
      </x:c>
      <x:c r="N25" s="30" t="str">
        <x:v>Elementor/主题常见重复 CSS/JS 需按模板优化。</x:v>
      </x:c>
    </x:row>
    <x:row r="26" ht="66" customHeight="1">
      <x:c r="A26" s="30" t="n">
        <x:v>22</x:v>
      </x:c>
      <x:c r="B26" s="30" t="str">
        <x:v>技术性能</x:v>
      </x:c>
      <x:c r="C26" s="30" t="str">
        <x:v>图片优化</x:v>
      </x:c>
      <x:c r="D26" s="30" t="str">
        <x:v>检查图片尺寸、格式、压缩、srcset、lazy-load 与首屏 LCP 图。</x:v>
      </x:c>
      <x:c r="E26" s="30" t="str">
        <x:v>Medium</x:v>
      </x:c>
      <x:c r="F26" s="30" t="str">
        <x:v>Screaming Frog Images + PSI diagnostics + 实际网络传输大小。</x:v>
      </x:c>
      <x:c r="G26" s="30" t="str">
        <x:v>Screaming Frog, PageSpeed Insights</x:v>
      </x:c>
      <x:c r="H26" s="30" t="str">
        <x:v>转换 WebP/AVIF；输出正确尺寸/srcset；非首屏 lazy-load；首屏 LCP 图优先加载。</x:v>
      </x:c>
      <x:c r="I26" s="30" t="str">
        <x:v>Dev/Content</x:v>
      </x:c>
      <x:c r="J26" s="30" t="str">
        <x:v>Open</x:v>
      </x:c>
      <x:c r="K26" s="30" t="str">
        <x:v>无明显超大图片；响应式尺寸合理；首屏主图不被错误 lazy-load。</x:v>
      </x:c>
      <x:c r="L26" s="30" t="str">
        <x:v>Warning</x:v>
      </x:c>
      <x:c r="M26" s="30" t="str">
        <x:v>Performance/UX</x:v>
      </x:c>
      <x:c r="N26" s="30" t="str">
        <x:v>图片文件大小与显示尺寸都要检查。</x:v>
      </x:c>
    </x:row>
    <x:row r="27" ht="66" customHeight="1">
      <x:c r="A27" s="30" t="n">
        <x:v>23</x:v>
      </x:c>
      <x:c r="B27" s="30" t="str">
        <x:v>技术性能</x:v>
      </x:c>
      <x:c r="C27" s="30" t="str">
        <x:v>缓存与 CDN</x:v>
      </x:c>
      <x:c r="D27" s="30" t="str">
        <x:v>确认页面缓存、静态资源缓存、Browser Cache 与 CDN 配置合理。</x:v>
      </x:c>
      <x:c r="E27" s="30" t="str">
        <x:v>High</x:v>
      </x:c>
      <x:c r="F27" s="30" t="str">
        <x:v>检查 Cache-Control、Age、CF-Cache-Status 或其他 CDN 标头。</x:v>
      </x:c>
      <x:c r="G27" s="30" t="str">
        <x:v>curl -I, CDN 仪表板, 浏览器 DevTools</x:v>
      </x:c>
      <x:c r="H27" s="30" t="str">
        <x:v>配置 HTML 页面缓存策略、静态资源长缓存；排除登录/购物车/表单等动态页面。</x:v>
      </x:c>
      <x:c r="I27" s="30" t="str">
        <x:v>Dev/Infra</x:v>
      </x:c>
      <x:c r="J27" s="30" t="str">
        <x:v>Open</x:v>
      </x:c>
      <x:c r="K27" s="30" t="str">
        <x:v>匿名核心页面可稳定命中合适缓存；静态资源有长期缓存且功能正常。</x:v>
      </x:c>
      <x:c r="L27" s="30" t="str">
        <x:v>Error</x:v>
      </x:c>
      <x:c r="M27" s="30" t="str">
        <x:v>Performance</x:v>
      </x:c>
      <x:c r="N27" s="30" t="str">
        <x:v>避免 WordPress 缓存插件与 CDN 重复/冲突。</x:v>
      </x:c>
    </x:row>
    <x:row r="28" ht="66" customHeight="1">
      <x:c r="A28" s="30" t="n">
        <x:v>24</x:v>
      </x:c>
      <x:c r="B28" s="30" t="str">
        <x:v>移动体验</x:v>
      </x:c>
      <x:c r="C28" s="30" t="str">
        <x:v>移动可用性与真实设备体验</x:v>
      </x:c>
      <x:c r="D28" s="30" t="str">
        <x:v>检查响应式布局、触控目标、字体、Viewport、横向滚动、粘性组件遮挡。</x:v>
      </x:c>
      <x:c r="E28" s="30" t="str">
        <x:v>High</x:v>
      </x:c>
      <x:c r="F28" s="30" t="str">
        <x:v>Lighthouse Mobile、Chrome Device Mode、真实手机测试。</x:v>
      </x:c>
      <x:c r="G28" s="30" t="str">
        <x:v>Lighthouse, PageSpeed Insights, Chrome DevTools, 实机</x:v>
      </x:c>
      <x:c r="H28" s="30" t="str">
        <x:v>修复触控、字体、viewport、溢出、固定元素与表单交互。</x:v>
      </x:c>
      <x:c r="I28" s="30" t="str">
        <x:v>Dev/UX</x:v>
      </x:c>
      <x:c r="J28" s="30" t="str">
        <x:v>Open</x:v>
      </x:c>
      <x:c r="K28" s="30" t="str">
        <x:v>主要页面在真实手机可正常阅读/点击/提交，无横向溢出或严重遮挡。</x:v>
      </x:c>
      <x:c r="L28" s="30" t="str">
        <x:v>Error</x:v>
      </x:c>
      <x:c r="M28" s="30" t="str">
        <x:v>UX/Conversion</x:v>
      </x:c>
      <x:c r="N28" s="30" t="str">
        <x:v>Google Mobile-Friendly Test 已退役，不再作为工具。</x:v>
      </x:c>
    </x:row>
    <x:row r="29" ht="66" customHeight="1">
      <x:c r="A29" s="30" t="n">
        <x:v>25</x:v>
      </x:c>
      <x:c r="B29" s="30" t="str">
        <x:v>安全与 Header</x:v>
      </x:c>
      <x:c r="C29" s="30" t="str">
        <x:v>HTTPS 与证书链</x:v>
      </x:c>
      <x:c r="D29" s="30" t="str">
        <x:v>全站 HTTPS、证书有效、自动续期、无混合内容。</x:v>
      </x:c>
      <x:c r="E29" s="30" t="str">
        <x:v>Critical</x:v>
      </x:c>
      <x:c r="F29" s="30" t="str">
        <x:v>浏览器安全面板、SSL 检测、抓取 Insecure Content。</x:v>
      </x:c>
      <x:c r="G29" s="30" t="str">
        <x:v>SSL Labs, 浏览器, Screaming Frog</x:v>
      </x:c>
      <x:c r="H29" s="30" t="str">
        <x:v>修复证书链和自动续期；把内部资源全部升级为 https。</x:v>
      </x:c>
      <x:c r="I29" s="30" t="str">
        <x:v>Dev/Infra</x:v>
      </x:c>
      <x:c r="J29" s="30" t="str">
        <x:v>Open</x:v>
      </x:c>
      <x:c r="K29" s="30" t="str">
        <x:v>证书有效且链完整；核心页面无 Mixed Content；所有 HTTP 正确重定向。</x:v>
      </x:c>
      <x:c r="L29" s="30" t="str">
        <x:v>Error</x:v>
      </x:c>
      <x:c r="M29" s="30" t="str">
        <x:v>Security/UX</x:v>
      </x:c>
      <x:c r="N29" s="30" t="str">
        <x:v>安全问题可能影响浏览器信任与转化。</x:v>
      </x:c>
    </x:row>
    <x:row r="30" ht="66" customHeight="1">
      <x:c r="A30" s="30" t="n">
        <x:v>26</x:v>
      </x:c>
      <x:c r="B30" s="30" t="str">
        <x:v>安全与 Header</x:v>
      </x:c>
      <x:c r="C30" s="30" t="str">
        <x:v>HSTS 与安全头</x:v>
      </x:c>
      <x:c r="D30" s="30" t="str">
        <x:v>检查 HSTS、X-Frame-Options/frame-ancestors、Referrer-Policy、Permissions-Policy、CSP 等。</x:v>
      </x:c>
      <x:c r="E30" s="30" t="str">
        <x:v>Medium</x:v>
      </x:c>
      <x:c r="F30" s="30" t="str">
        <x:v>检查响应头并测试功能兼容性。</x:v>
      </x:c>
      <x:c r="G30" s="30" t="str">
        <x:v>curl -I, securityheaders.com, DevTools</x:v>
      </x:c>
      <x:c r="H30" s="30" t="str">
        <x:v>分阶段启用；CSP 先 Report-Only；HSTS preload/includeSubDomains 谨慎。</x:v>
      </x:c>
      <x:c r="I30" s="30" t="str">
        <x:v>Dev/Security</x:v>
      </x:c>
      <x:c r="J30" s="30" t="str">
        <x:v>Open</x:v>
      </x:c>
      <x:c r="K30" s="30" t="str">
        <x:v>关键安全头符合站点策略且不破坏表单、第三方脚本、支付/嵌入功能。</x:v>
      </x:c>
      <x:c r="L30" s="30" t="str">
        <x:v>Opportunity</x:v>
      </x:c>
      <x:c r="M30" s="30" t="str">
        <x:v>Security</x:v>
      </x:c>
      <x:c r="N30" s="30" t="str">
        <x:v>不要未经测试直接上严格 CSP 或 HSTS preload。</x:v>
      </x:c>
    </x:row>
    <x:row r="31" ht="66" customHeight="1">
      <x:c r="A31" s="30" t="n">
        <x:v>27</x:v>
      </x:c>
      <x:c r="B31" s="30" t="str">
        <x:v>结构化数据</x:v>
      </x:c>
      <x:c r="C31" s="30" t="str">
        <x:v>Schema 类型覆盖</x:v>
      </x:c>
      <x:c r="D31" s="30" t="str">
        <x:v>检查 Organization、Breadcrumb、Article、Product、FAQ 等是否只用于真正适合的页面。</x:v>
      </x:c>
      <x:c r="E31" s="30" t="str">
        <x:v>Medium</x:v>
      </x:c>
      <x:c r="F31" s="30" t="str">
        <x:v>Rich Results Test、页面 JSON-LD、GSC Enhancements。</x:v>
      </x:c>
      <x:c r="G31" s="30" t="str">
        <x:v>Rich Results Test, GSC, Screaming Frog</x:v>
      </x:c>
      <x:c r="H31" s="30" t="str">
        <x:v>按页面类型补充必要 schema；避免为了富结果堆无关类型。</x:v>
      </x:c>
      <x:c r="I31" s="30" t="str">
        <x:v>SEO/Dev</x:v>
      </x:c>
      <x:c r="J31" s="30" t="str">
        <x:v>Open</x:v>
      </x:c>
      <x:c r="K31" s="30" t="str">
        <x:v>适用页面有正确 schema；无严重错误；与可见内容一致。</x:v>
      </x:c>
      <x:c r="L31" s="30" t="str">
        <x:v>Opportunity</x:v>
      </x:c>
      <x:c r="M31" s="30" t="str">
        <x:v>CTR/Entity</x:v>
      </x:c>
      <x:c r="N31" s="30" t="str">
        <x:v>FAQ/HowTo 等富结果资格变化时仍可保留语义价值。</x:v>
      </x:c>
    </x:row>
    <x:row r="32" ht="66" customHeight="1">
      <x:c r="A32" s="30" t="n">
        <x:v>28</x:v>
      </x:c>
      <x:c r="B32" s="30" t="str">
        <x:v>结构化数据</x:v>
      </x:c>
      <x:c r="C32" s="30" t="str">
        <x:v>Schema 错误、重复与冲突</x:v>
      </x:c>
      <x:c r="D32" s="30" t="str">
        <x:v>避免主题、SEO 插件、Schema 插件重复输出冲突实体。</x:v>
      </x:c>
      <x:c r="E32" s="30" t="str">
        <x:v>Medium</x:v>
      </x:c>
      <x:c r="F32" s="30" t="str">
        <x:v>抓取 JSON-LD 数量；Rich Results Test；人工比对实体 ID。</x:v>
      </x:c>
      <x:c r="G32" s="30" t="str">
        <x:v>Rich Results Test, Screaming Frog</x:v>
      </x:c>
      <x:c r="H32" s="30" t="str">
        <x:v>保留单一可信输出源；统一 Organization/Product/Breadcrumb 实体。</x:v>
      </x:c>
      <x:c r="I32" s="30" t="str">
        <x:v>Dev/SEO</x:v>
      </x:c>
      <x:c r="J32" s="30" t="str">
        <x:v>Open</x:v>
      </x:c>
      <x:c r="K32" s="30" t="str">
        <x:v>无严重 schema 冲突、重复或相互矛盾属性。</x:v>
      </x:c>
      <x:c r="L32" s="30" t="str">
        <x:v>Error</x:v>
      </x:c>
      <x:c r="M32" s="30" t="str">
        <x:v>CTR/Entity</x:v>
      </x:c>
      <x:c r="N32" s="30" t="str">
        <x:v>WordPress 多插件同时输出是常见问题。</x:v>
      </x:c>
    </x:row>
    <x:row r="33" ht="66" customHeight="1">
      <x:c r="A33" s="30" t="n">
        <x:v>29</x:v>
      </x:c>
      <x:c r="B33" s="30" t="str">
        <x:v>国际化 / 多语言</x:v>
      </x:c>
      <x:c r="C33" s="30" t="str">
        <x:v>hreflang 基础实现</x:v>
      </x:c>
      <x:c r="D33" s="30" t="str">
        <x:v>检查 hreflang 是否使用有效语言/地区代码、包含自引用并双向返回。</x:v>
      </x:c>
      <x:c r="E33" s="30" t="str">
        <x:v>Medium</x:v>
      </x:c>
      <x:c r="F33" s="30" t="str">
        <x:v>Screaming Frog Hreflang 报告；查看 head 或 hreflang sitemap。</x:v>
      </x:c>
      <x:c r="G33" s="30" t="str">
        <x:v>Screaming Frog, 手工检查</x:v>
      </x:c>
      <x:c r="H33" s="30" t="str">
        <x:v>修正 Missing Return Links、Invalid Language Codes、错误目标和 x-default。</x:v>
      </x:c>
      <x:c r="I33" s="30" t="str">
        <x:v>SEO/Dev</x:v>
      </x:c>
      <x:c r="J33" s="30" t="str">
        <x:v>Open</x:v>
      </x:c>
      <x:c r="K33" s="30" t="str">
        <x:v>计划索引的语言版本相互正确双向返回，代码与实际语言一致。</x:v>
      </x:c>
      <x:c r="L33" s="30" t="str">
        <x:v>Error</x:v>
      </x:c>
      <x:c r="M33" s="30" t="str">
        <x:v>International/Indexing</x:v>
      </x:c>
      <x:c r="N33" s="30" t="str">
        <x:v>Rich Results Test 不是 hreflang 验证工具。</x:v>
      </x:c>
    </x:row>
    <x:row r="34" ht="66" customHeight="1">
      <x:c r="A34" s="30" t="n">
        <x:v>30</x:v>
      </x:c>
      <x:c r="B34" s="30" t="str">
        <x:v>链接分析</x:v>
      </x:c>
      <x:c r="C34" s="30" t="str">
        <x:v>站内坏链</x:v>
      </x:c>
      <x:c r="D34" s="30" t="str">
        <x:v>检测页面正文、导航、图片、按钮、CSS/JS 资源中的内部 4xx。</x:v>
      </x:c>
      <x:c r="E34" s="30" t="str">
        <x:v>High</x:v>
      </x:c>
      <x:c r="F34" s="30" t="str">
        <x:v>爬虫扫描 + 4xx Inlinks 导出。</x:v>
      </x:c>
      <x:c r="G34" s="30" t="str">
        <x:v>Screaming Frog, Server Logs</x:v>
      </x:c>
      <x:c r="H34" s="30" t="str">
        <x:v>更新错误链接到最终 URL；无替代内容则删除；必要时对旧 URL 301。</x:v>
      </x:c>
      <x:c r="I34" s="30" t="str">
        <x:v>Dev/Content</x:v>
      </x:c>
      <x:c r="J34" s="30" t="str">
        <x:v>Open</x:v>
      </x:c>
      <x:c r="K34" s="30" t="str">
        <x:v>重要页面站内 4xx 链接为 0 或接近 0，无重复制造错误 URL 的模板问题。</x:v>
      </x:c>
      <x:c r="L34" s="30" t="str">
        <x:v>Error</x:v>
      </x:c>
      <x:c r="M34" s="30" t="str">
        <x:v>Crawling/UX</x:v>
      </x:c>
      <x:c r="N34" s="30" t="str">
        <x:v>优先修复导航、模板和高 Inlinks 错误。</x:v>
      </x:c>
    </x:row>
    <x:row r="35" ht="66" customHeight="1">
      <x:c r="A35" s="30" t="n">
        <x:v>31</x:v>
      </x:c>
      <x:c r="B35" s="30" t="str">
        <x:v>链接分析</x:v>
      </x:c>
      <x:c r="C35" s="30" t="str">
        <x:v>外部反向链接概览</x:v>
      </x:c>
      <x:c r="D35" s="30" t="str">
        <x:v>了解高价值、异常和丢失反链，判断是否影响核心页面排名。</x:v>
      </x:c>
      <x:c r="E35" s="30" t="str">
        <x:v>Medium</x:v>
      </x:c>
      <x:c r="F35" s="30" t="str">
        <x:v>Semrush Backlink Analytics / GSC Links；按页面与 referring domain 分析。</x:v>
      </x:c>
      <x:c r="G35" s="30" t="str">
        <x:v>Semrush, Google Search Console</x:v>
      </x:c>
      <x:c r="H35" s="30" t="str">
        <x:v>优先恢复高质量真实链接；仅在明确存在人为违规链接风险时评估 disavow。</x:v>
      </x:c>
      <x:c r="I35" s="30" t="str">
        <x:v>SEO</x:v>
      </x:c>
      <x:c r="J35" s="30" t="str">
        <x:v>Open</x:v>
      </x:c>
      <x:c r="K35" s="30" t="str">
        <x:v>核心页面反链变化已记录；不存在需要紧急处理的明确人工违规链接风险。</x:v>
      </x:c>
      <x:c r="L35" s="30" t="str">
        <x:v>Opportunity</x:v>
      </x:c>
      <x:c r="M35" s="30" t="str">
        <x:v>Ranking/Authority</x:v>
      </x:c>
      <x:c r="N35" s="30" t="str">
        <x:v>不要因为普通垃圾链接存在就默认 Disavow。</x:v>
      </x:c>
    </x:row>
    <x:row r="36" ht="66" customHeight="1">
      <x:c r="A36" s="30" t="n">
        <x:v>32</x:v>
      </x:c>
      <x:c r="B36" s="30" t="str">
        <x:v>媒体与富媒体</x:v>
      </x:c>
      <x:c r="C36" s="30" t="str">
        <x:v>Image/Video Sitemap</x:v>
      </x:c>
      <x:c r="D36" s="30" t="str">
        <x:v>评估重要图片/视频是否需要独立或扩展 sitemap 声明。</x:v>
      </x:c>
      <x:c r="E36" s="30" t="str">
        <x:v>Low</x:v>
      </x:c>
      <x:c r="F36" s="30" t="str">
        <x:v>检查现有 sitemap 是否包含媒体条目及视频详情。</x:v>
      </x:c>
      <x:c r="G36" s="30" t="str">
        <x:v>Screaming Frog, 手工检查</x:v>
      </x:c>
      <x:c r="H36" s="30" t="str">
        <x:v>对以图片/视频搜索为重要渠道的网站配置；普通企业站可不单独建立。</x:v>
      </x:c>
      <x:c r="I36" s="30" t="str">
        <x:v>SEO/Dev</x:v>
      </x:c>
      <x:c r="J36" s="30" t="str">
        <x:v>Open</x:v>
      </x:c>
      <x:c r="K36" s="30" t="str">
        <x:v>若业务依赖图片/视频搜索，则关键媒体可被发现且 sitemap 有效。</x:v>
      </x:c>
      <x:c r="L36" s="30" t="str">
        <x:v>Opportunity</x:v>
      </x:c>
      <x:c r="M36" s="30" t="str">
        <x:v>Discovery</x:v>
      </x:c>
      <x:c r="N36" s="30" t="str">
        <x:v>按业务需求启用，不是所有站必做。</x:v>
      </x:c>
    </x:row>
    <x:row r="37" ht="66" customHeight="1">
      <x:c r="A37" s="30" t="n">
        <x:v>33</x:v>
      </x:c>
      <x:c r="B37" s="30" t="str">
        <x:v>日志与抓取分析</x:v>
      </x:c>
      <x:c r="C37" s="30" t="str">
        <x:v>Server Logs 抓取分析</x:v>
      </x:c>
      <x:c r="D37" s="30" t="str">
        <x:v>分析 Googlebot/Bingbot 实际抓取频率、状态码、热点和浪费路径。</x:v>
      </x:c>
      <x:c r="E37" s="30" t="str">
        <x:v>High</x:v>
      </x:c>
      <x:c r="F37" s="30" t="str">
        <x:v>提取日志中的搜索引擎 User-Agent/IP，按 URL/状态/频率统计。</x:v>
      </x:c>
      <x:c r="G37" s="30" t="str">
        <x:v>Server Logs, Screaming Frog Log Analyzer, ELK</x:v>
      </x:c>
      <x:c r="H37" s="30" t="str">
        <x:v>治理高频无效路径、5xx、链式跳转；提升重要页面发现和响应稳定性。</x:v>
      </x:c>
      <x:c r="I37" s="30" t="str">
        <x:v>Dev/SEO</x:v>
      </x:c>
      <x:c r="J37" s="30" t="str">
        <x:v>Open</x:v>
      </x:c>
      <x:c r="K37" s="30" t="str">
        <x:v>主要抓取热点、异常状态与浪费路径已识别并进入整改计划。</x:v>
      </x:c>
      <x:c r="L37" s="30" t="str">
        <x:v>Opportunity</x:v>
      </x:c>
      <x:c r="M37" s="30" t="str">
        <x:v>Crawling</x:v>
      </x:c>
      <x:c r="N37" s="30" t="str">
        <x:v>共享主机可能拿不到完整日志，可降为 N/A。</x:v>
      </x:c>
    </x:row>
    <x:row r="38" ht="66" customHeight="1">
      <x:c r="A38" s="30" t="n">
        <x:v>34</x:v>
      </x:c>
      <x:c r="B38" s="30" t="str">
        <x:v>监控与跟踪</x:v>
      </x:c>
      <x:c r="C38" s="30" t="str">
        <x:v>Search Console / Analytics 配置</x:v>
      </x:c>
      <x:c r="D38" s="30" t="str">
        <x:v>确认 GSC、GA4、Bing Webmaster 数据完整、域名正确、无重复追踪。</x:v>
      </x:c>
      <x:c r="E38" s="30" t="str">
        <x:v>Critical</x:v>
      </x:c>
      <x:c r="F38" s="30" t="str">
        <x:v>检查属性、验证方式、数据流、站点地图和实时数据。</x:v>
      </x:c>
      <x:c r="G38" s="30" t="str">
        <x:v>GSC, GA4, Bing Webmaster, Tag Assistant</x:v>
      </x:c>
      <x:c r="H38" s="30" t="str">
        <x:v>修复重复 GA4/GTM、错误域名、漏装标签和未验证属性。</x:v>
      </x:c>
      <x:c r="I38" s="30" t="str">
        <x:v>SEO/Analytics</x:v>
      </x:c>
      <x:c r="J38" s="30" t="str">
        <x:v>Open</x:v>
      </x:c>
      <x:c r="K38" s="30" t="str">
        <x:v>核心属性数据连续、无重复 page_view，站点地图和验证状态正常。</x:v>
      </x:c>
      <x:c r="L38" s="30" t="str">
        <x:v>Error</x:v>
      </x:c>
      <x:c r="M38" s="30" t="str">
        <x:v>Measurement</x:v>
      </x:c>
      <x:c r="N38" s="30" t="str">
        <x:v>迁移域名/主题后必须复查。</x:v>
      </x:c>
    </x:row>
    <x:row r="39" ht="66" customHeight="1">
      <x:c r="A39" s="30" t="n">
        <x:v>35</x:v>
      </x:c>
      <x:c r="B39" s="30" t="str">
        <x:v>监控与跟踪</x:v>
      </x:c>
      <x:c r="C39" s="30" t="str">
        <x:v>事件与转化追踪</x:v>
      </x:c>
      <x:c r="D39" s="30" t="str">
        <x:v>核查表单、WhatsApp、电话、邮件、购买/询价等关键转化事件。</x:v>
      </x:c>
      <x:c r="E39" s="30" t="str">
        <x:v>Medium</x:v>
      </x:c>
      <x:c r="F39" s="30" t="str">
        <x:v>真实触发事件，对比前端、GA4、CRM/邮箱/后台记录。</x:v>
      </x:c>
      <x:c r="G39" s="30" t="str">
        <x:v>GA4, GTM, Tag Assistant, CRM</x:v>
      </x:c>
      <x:c r="H39" s="30" t="str">
        <x:v>修复重复触发、漏报、跨域问题；必要时采用 server-side tracking。</x:v>
      </x:c>
      <x:c r="I39" s="30" t="str">
        <x:v>Analytics/Dev</x:v>
      </x:c>
      <x:c r="J39" s="30" t="str">
        <x:v>Open</x:v>
      </x:c>
      <x:c r="K39" s="30" t="str">
        <x:v>关键转化仅触发一次且能在分析/CRM 中准确对应。</x:v>
      </x:c>
      <x:c r="L39" s="30" t="str">
        <x:v>Error</x:v>
      </x:c>
      <x:c r="M39" s="30" t="str">
        <x:v>Conversion</x:v>
      </x:c>
      <x:c r="N39" s="30" t="str">
        <x:v>SEO 流量价值判断必须依赖可靠转化数据。</x:v>
      </x:c>
    </x:row>
    <x:row r="40" ht="66" customHeight="1">
      <x:c r="A40" s="30" t="n">
        <x:v>36</x:v>
      </x:c>
      <x:c r="B40" s="30" t="str">
        <x:v>WordPress 专项</x:v>
      </x:c>
      <x:c r="C40" s="30" t="str">
        <x:v>核心/主题/插件更新与安全</x:v>
      </x:c>
      <x:c r="D40" s="30" t="str">
        <x:v>检查 WordPress 核心、PHP、主题和插件版本、漏洞和维护状态。</x:v>
      </x:c>
      <x:c r="E40" s="30" t="str">
        <x:v>High</x:v>
      </x:c>
      <x:c r="F40" s="30" t="str">
        <x:v>WP 后台、WP-CLI、主机版本与安全公告。</x:v>
      </x:c>
      <x:c r="G40" s="30" t="str">
        <x:v>WP-CLI, WP Admin</x:v>
      </x:c>
      <x:c r="H40" s="30" t="str">
        <x:v>备份后更新；替换废弃/高风险组件；清理无用插件主题。</x:v>
      </x:c>
      <x:c r="I40" s="30" t="str">
        <x:v>Dev/Security</x:v>
      </x:c>
      <x:c r="J40" s="30" t="str">
        <x:v>Open</x:v>
      </x:c>
      <x:c r="K40" s="30" t="str">
        <x:v>生产环境必要组件受支持且更新；无已知高危漏洞长期未处理。</x:v>
      </x:c>
      <x:c r="L40" s="30" t="str">
        <x:v>Error</x:v>
      </x:c>
      <x:c r="M40" s="30" t="str">
        <x:v>Security/Maintenance</x:v>
      </x:c>
      <x:c r="N40" s="30" t="str">
        <x:v>更新前使用 staging 回归测试。</x:v>
      </x:c>
    </x:row>
    <x:row r="41" ht="66" customHeight="1">
      <x:c r="A41" s="30" t="n">
        <x:v>37</x:v>
      </x:c>
      <x:c r="B41" s="30" t="str">
        <x:v>WordPress 专项</x:v>
      </x:c>
      <x:c r="C41" s="30" t="str">
        <x:v>SEO 插件与主题输出冲突</x:v>
      </x:c>
      <x:c r="D41" s="30" t="str">
        <x:v>检测多个插件/主题重复输出 Title、meta robots、canonical、schema、sitemap。</x:v>
      </x:c>
      <x:c r="E41" s="30" t="str">
        <x:v>High</x:v>
      </x:c>
      <x:c r="F41" s="30" t="str">
        <x:v>检查源码 head；比较 sitemap 来源与插件配置。</x:v>
      </x:c>
      <x:c r="G41" s="30" t="str">
        <x:v>Screaming Frog, DevTools, WP Admin</x:v>
      </x:c>
      <x:c r="H41" s="30" t="str">
        <x:v>确定单一 SEO 输出源；关闭主题或重复插件中的相同功能。</x:v>
      </x:c>
      <x:c r="I41" s="30" t="str">
        <x:v>Dev/SEO</x:v>
      </x:c>
      <x:c r="J41" s="30" t="str">
        <x:v>Open</x:v>
      </x:c>
      <x:c r="K41" s="30" t="str">
        <x:v>每页只有一套有效 canonical/robots/meta/schema 主输出，sitemap 来源清晰。</x:v>
      </x:c>
      <x:c r="L41" s="30" t="str">
        <x:v>Error</x:v>
      </x:c>
      <x:c r="M41" s="30" t="str">
        <x:v>Indexing</x:v>
      </x:c>
      <x:c r="N41" s="30" t="str">
        <x:v>常见于 Yoast/Rank Math/主题 Schema/缓存插件组合。</x:v>
      </x:c>
    </x:row>
    <x:row r="42" ht="66" customHeight="1">
      <x:c r="A42" s="30" t="n">
        <x:v>38</x:v>
      </x:c>
      <x:c r="B42" s="30" t="str">
        <x:v>WordPress 专项</x:v>
      </x:c>
      <x:c r="C42" s="30" t="str">
        <x:v>Permalink 与 rewrite</x:v>
      </x:c>
      <x:c r="D42" s="30" t="str">
        <x:v>确认固定链接稳定、语义清晰，无 ?p=、重复路径或 rewrite 冲突。</x:v>
      </x:c>
      <x:c r="E42" s="30" t="str">
        <x:v>Medium</x:v>
      </x:c>
      <x:c r="F42" s="30" t="str">
        <x:v>检查 WP Permalink、旧 URL、状态码和 canonical。</x:v>
      </x:c>
      <x:c r="G42" s="30" t="str">
        <x:v>WP Admin, curl, Screaming Frog</x:v>
      </x:c>
      <x:c r="H42" s="30" t="str">
        <x:v>设置稳定结构；历史 URL 301 到最终 URL；修复 rewrite 规则冲突。</x:v>
      </x:c>
      <x:c r="I42" s="30" t="str">
        <x:v>Dev/SEO</x:v>
      </x:c>
      <x:c r="J42" s="30" t="str">
        <x:v>Open</x:v>
      </x:c>
      <x:c r="K42" s="30" t="str">
        <x:v>所有内容有稳定规范 URL；旧参数/旧路径正确重定向。</x:v>
      </x:c>
      <x:c r="L42" s="30" t="str">
        <x:v>Warning</x:v>
      </x:c>
      <x:c r="M42" s="30" t="str">
        <x:v>Indexing</x:v>
      </x:c>
      <x:c r="N42" s="30" t="str">
        <x:v>不要在已有成熟站点无必要大改 URL 结构。</x:v>
      </x:c>
    </x:row>
    <x:row r="43" ht="66" customHeight="1">
      <x:c r="A43" s="30" t="n">
        <x:v>39</x:v>
      </x:c>
      <x:c r="B43" s="30" t="str">
        <x:v>WordPress 专项</x:v>
      </x:c>
      <x:c r="C43" s="30" t="str">
        <x:v>XML-RPC / REST API 暴露与滥用</x:v>
      </x:c>
      <x:c r="D43" s="30" t="str">
        <x:v>确认 XML-RPC、REST API、登录接口仅开放业务需要的能力，并有防滥用措施。</x:v>
      </x:c>
      <x:c r="E43" s="30" t="str">
        <x:v>Low</x:v>
      </x:c>
      <x:c r="F43" s="30" t="str">
        <x:v>检查端点行为、WAF/日志、插件依赖。</x:v>
      </x:c>
      <x:c r="G43" s="30" t="str">
        <x:v>curl, WP-CLI, Server Logs, WAF</x:v>
      </x:c>
      <x:c r="H43" s="30" t="str">
        <x:v>不使用 XML-RPC 时限制或禁用；REST API 按最小权限、鉴权和限速保护，不做无脑全禁。</x:v>
      </x:c>
      <x:c r="I43" s="30" t="str">
        <x:v>Dev/Security</x:v>
      </x:c>
      <x:c r="J43" s="30" t="str">
        <x:v>Open</x:v>
      </x:c>
      <x:c r="K43" s="30" t="str">
        <x:v>不必要接口受限；必要 REST/API 功能正常且无明显滥用。</x:v>
      </x:c>
      <x:c r="L43" s="30" t="str">
        <x:v>Warning</x:v>
      </x:c>
      <x:c r="M43" s="30" t="str">
        <x:v>Security</x:v>
      </x:c>
      <x:c r="N43" s="30" t="str">
        <x:v>Gutenberg、插件和第三方集成可能依赖 REST API。</x:v>
      </x:c>
    </x:row>
    <x:row r="44" ht="66" customHeight="1">
      <x:c r="A44" s="30" t="n">
        <x:v>40</x:v>
      </x:c>
      <x:c r="B44" s="30" t="str">
        <x:v>维护与流程</x:v>
      </x:c>
      <x:c r="C44" s="30" t="str">
        <x:v>审计交付与优先级清单</x:v>
      </x:c>
      <x:c r="D44" s="30" t="str">
        <x:v>把发现的问题转化为可执行任务，明确负责人、P0/P1/P2、验收与复测。</x:v>
      </x:c>
      <x:c r="E44" s="30" t="str">
        <x:v>Critical</x:v>
      </x:c>
      <x:c r="F44" s="30" t="str">
        <x:v>汇总本清单与抓取/GSC/PSI/日志结果。</x:v>
      </x:c>
      <x:c r="G44" s="30" t="str">
        <x:v>Excel/CSV, Jira, Trello, Notion</x:v>
      </x:c>
      <x:c r="H44" s="30" t="str">
        <x:v>建立整改任务表、负责人、截止时间和复测字段。</x:v>
      </x:c>
      <x:c r="I44" s="30" t="str">
        <x:v>SEO/PM</x:v>
      </x:c>
      <x:c r="J44" s="30" t="str">
        <x:v>Open</x:v>
      </x:c>
      <x:c r="K44" s="30" t="str">
        <x:v>所有 P0/P1 问题均有负责人、修复方案、验收标准和完成记录。</x:v>
      </x:c>
      <x:c r="L44" s="30" t="str">
        <x:v>Opportunity</x:v>
      </x:c>
      <x:c r="M44" s="30" t="str">
        <x:v>Maintenance</x:v>
      </x:c>
      <x:c r="N44" s="30" t="str">
        <x:v>建议保留审计快照用于前后对比。</x:v>
      </x:c>
    </x:row>
    <x:row r="45" ht="66" customHeight="1">
      <x:c r="A45" s="30" t="n">
        <x:v>41</x:v>
      </x:c>
      <x:c r="B45" s="30" t="str">
        <x:v>抓取与索引</x:v>
      </x:c>
      <x:c r="C45" s="30" t="str">
        <x:v>Soft 404 与状态码真实性</x:v>
      </x:c>
      <x:c r="D45" s="30" t="str">
        <x:v>检测页面显示空内容、错误或“未找到”但服务器仍返回 200，以及错误的状态码策略。</x:v>
      </x:c>
      <x:c r="E45" s="30" t="str">
        <x:v>High</x:v>
      </x:c>
      <x:c r="F45" s="30" t="str">
        <x:v>抓取 Response Code；人工核对页面可见内容；查看 GSC Soft 404。</x:v>
      </x:c>
      <x:c r="G45" s="30" t="str">
        <x:v>Screaming Frog, curl, GSC URL Inspection</x:v>
      </x:c>
      <x:c r="H45" s="30" t="str">
        <x:v>不存在且无替代内容返回 404/410；有相关替代页时 301；修复错误 200。</x:v>
      </x:c>
      <x:c r="I45" s="30" t="str">
        <x:v>SEO/Dev</x:v>
      </x:c>
      <x:c r="J45" s="30" t="str">
        <x:v>Open</x:v>
      </x:c>
      <x:c r="K45" s="30" t="str">
        <x:v>错误页状态码与实际内容一致，核心站点无重要 Soft 404。</x:v>
      </x:c>
      <x:c r="L45" s="30" t="str">
        <x:v>Error</x:v>
      </x:c>
      <x:c r="M45" s="30" t="str">
        <x:v>Indexing/Crawling</x:v>
      </x:c>
      <x:c r="N45" s="30" t="str">
        <x:v>搜索页、空分类、删除产品、错误语言 URL 常见。</x:v>
      </x:c>
    </x:row>
    <x:row r="46" ht="66" customHeight="1">
      <x:c r="A46" s="30" t="n">
        <x:v>42</x:v>
      </x:c>
      <x:c r="B46" s="30" t="str">
        <x:v>抓取与索引</x:v>
      </x:c>
      <x:c r="C46" s="30" t="str">
        <x:v>Sitemap URL 可索引一致性</x:v>
      </x:c>
      <x:c r="D46" s="30" t="str">
        <x:v>确保 Sitemap 只提交最终可索引的规范 URL。</x:v>
      </x:c>
      <x:c r="E46" s="30" t="str">
        <x:v>High</x:v>
      </x:c>
      <x:c r="F46" s="30" t="str">
        <x:v>将 Sitemap URL 与 Status、Indexability、Canonical、Directives 交叉比对。</x:v>
      </x:c>
      <x:c r="G46" s="30" t="str">
        <x:v>Screaming Frog, GSC</x:v>
      </x:c>
      <x:c r="H46" s="30" t="str">
        <x:v>删除 3xx、4xx、5xx、noindex、非 canonical 与测试 URL。</x:v>
      </x:c>
      <x:c r="I46" s="30" t="str">
        <x:v>SEO/Dev</x:v>
      </x:c>
      <x:c r="J46" s="30" t="str">
        <x:v>Open</x:v>
      </x:c>
      <x:c r="K46" s="30" t="str">
        <x:v>Sitemap URL 均为 200 + Indexable + Canonical，且不经过重定向。</x:v>
      </x:c>
      <x:c r="L46" s="30" t="str">
        <x:v>Error</x:v>
      </x:c>
      <x:c r="M46" s="30" t="str">
        <x:v>Indexing</x:v>
      </x:c>
      <x:c r="N46" s="30" t="str">
        <x:v>适合作为每月自动审计项。</x:v>
      </x:c>
    </x:row>
    <x:row r="47" ht="66" customHeight="1">
      <x:c r="A47" s="30" t="n">
        <x:v>43</x:v>
      </x:c>
      <x:c r="B47" s="30" t="str">
        <x:v>抓取与索引</x:v>
      </x:c>
      <x:c r="C47" s="30" t="str">
        <x:v>Sitemap lastmod 准确性</x:v>
      </x:c>
      <x:c r="D47" s="30" t="str">
        <x:v>确认 lastmod 只在正文、结构化数据、重要链接等发生实质变化时更新。</x:v>
      </x:c>
      <x:c r="E47" s="30" t="str">
        <x:v>Medium</x:v>
      </x:c>
      <x:c r="F47" s="30" t="str">
        <x:v>抽查 sitemap lastmod 与 CMS 实际修改记录。</x:v>
      </x:c>
      <x:c r="G47" s="30" t="str">
        <x:v>浏览器, Screaming Frog, WP SEO Plugin</x:v>
      </x:c>
      <x:c r="H47" s="30" t="str">
        <x:v>修复错误 lastmod 逻辑，避免全站每日自动刷新。</x:v>
      </x:c>
      <x:c r="I47" s="30" t="str">
        <x:v>Dev/SEO</x:v>
      </x:c>
      <x:c r="J47" s="30" t="str">
        <x:v>Open</x:v>
      </x:c>
      <x:c r="K47" s="30" t="str">
        <x:v>lastmod 与实际重要内容变更基本一致。</x:v>
      </x:c>
      <x:c r="L47" s="30" t="str">
        <x:v>Warning</x:v>
      </x:c>
      <x:c r="M47" s="30" t="str">
        <x:v>Crawling</x:v>
      </x:c>
      <x:c r="N47" s="30" t="str">
        <x:v>版权年份变化不应导致所有 URL lastmod 更新。</x:v>
      </x:c>
    </x:row>
    <x:row r="48" ht="66" customHeight="1">
      <x:c r="A48" s="30" t="n">
        <x:v>44</x:v>
      </x:c>
      <x:c r="B48" s="30" t="str">
        <x:v>抓取与索引</x:v>
      </x:c>
      <x:c r="C48" s="30" t="str">
        <x:v>Google 选择的 Canonical</x:v>
      </x:c>
      <x:c r="D48" s="30" t="str">
        <x:v>检查 Google-selected canonical 是否与 User-declared canonical 一致。</x:v>
      </x:c>
      <x:c r="E48" s="30" t="str">
        <x:v>High</x:v>
      </x:c>
      <x:c r="F48" s="30" t="str">
        <x:v>GSC URL Inspection 抽查核心页和排名下降页。</x:v>
      </x:c>
      <x:c r="G48" s="30" t="str">
        <x:v>Google Search Console</x:v>
      </x:c>
      <x:c r="H48" s="30" t="str">
        <x:v>解决重复内容、内链、sitemap、redirect、canonical 信号冲突。</x:v>
      </x:c>
      <x:c r="I48" s="30" t="str">
        <x:v>SEO/Dev</x:v>
      </x:c>
      <x:c r="J48" s="30" t="str">
        <x:v>Open</x:v>
      </x:c>
      <x:c r="K48" s="30" t="str">
        <x:v>核心商业页面 Google-selected canonical 与预期 URL 一致。</x:v>
      </x:c>
      <x:c r="L48" s="30" t="str">
        <x:v>Error</x:v>
      </x:c>
      <x:c r="M48" s="30" t="str">
        <x:v>Indexing/Ranking</x:v>
      </x:c>
      <x:c r="N48" s="30" t="str">
        <x:v>排名下降或不收录时优先检查。</x:v>
      </x:c>
    </x:row>
    <x:row r="49" ht="66" customHeight="1">
      <x:c r="A49" s="30" t="n">
        <x:v>45</x:v>
      </x:c>
      <x:c r="B49" s="30" t="str">
        <x:v>抓取与索引</x:v>
      </x:c>
      <x:c r="C49" s="30" t="str">
        <x:v>孤立页面 Orphan Pages</x:v>
      </x:c>
      <x:c r="D49" s="30" t="str">
        <x:v>发现 GSC/GA4/Sitemap 存在但正常爬虫无法通过站内链接发现的页面。</x:v>
      </x:c>
      <x:c r="E49" s="30" t="str">
        <x:v>High</x:v>
      </x:c>
      <x:c r="F49" s="30" t="str">
        <x:v>交叉比对 Crawl、Sitemap、GSC、GA4 URL 集合。</x:v>
      </x:c>
      <x:c r="G49" s="30" t="str">
        <x:v>Screaming Frog, GSC, GA4</x:v>
      </x:c>
      <x:c r="H49" s="30" t="str">
        <x:v>增加分类、导航、相关文章或上下文内链；无价值页面合并/下线。</x:v>
      </x:c>
      <x:c r="I49" s="30" t="str">
        <x:v>SEO/Content</x:v>
      </x:c>
      <x:c r="J49" s="30" t="str">
        <x:v>Open</x:v>
      </x:c>
      <x:c r="K49" s="30" t="str">
        <x:v>所有重要页面至少存在有效可抓取内链入口。</x:v>
      </x:c>
      <x:c r="L49" s="30" t="str">
        <x:v>Error</x:v>
      </x:c>
      <x:c r="M49" s="30" t="str">
        <x:v>Crawling/Ranking</x:v>
      </x:c>
      <x:c r="N49" s="30" t="str">
        <x:v>历史产品页与博客常见。</x:v>
      </x:c>
    </x:row>
    <x:row r="50" ht="66" customHeight="1">
      <x:c r="A50" s="30" t="n">
        <x:v>46</x:v>
      </x:c>
      <x:c r="B50" s="30" t="str">
        <x:v>JavaScript SEO</x:v>
      </x:c>
      <x:c r="C50" s="30" t="str">
        <x:v>渲染后内容完整性</x:v>
      </x:c>
      <x:c r="D50" s="30" t="str">
        <x:v>检查主要正文、H1、产品信息、内链、canonical、robots 是否依赖 JS 后才出现或渲染失败。</x:v>
      </x:c>
      <x:c r="E50" s="30" t="str">
        <x:v>High</x:v>
      </x:c>
      <x:c r="F50" s="30" t="str">
        <x:v>对比 Raw HTML、Rendered HTML 与 GSC URL Inspection 渲染结果。</x:v>
      </x:c>
      <x:c r="G50" s="30" t="str">
        <x:v>Screaming Frog JS Rendering, GSC, Chrome DevTools</x:v>
      </x:c>
      <x:c r="H50" s="30" t="str">
        <x:v>重要 SEO 内容优先服务端输出；修复异步加载、hydration、JS 错误。</x:v>
      </x:c>
      <x:c r="I50" s="30" t="str">
        <x:v>Dev/SEO</x:v>
      </x:c>
      <x:c r="J50" s="30" t="str">
        <x:v>Open</x:v>
      </x:c>
      <x:c r="K50" s="30" t="str">
        <x:v>Google 渲染结果包含主要正文、标题、链接和关键 SEO 标签。</x:v>
      </x:c>
      <x:c r="L50" s="30" t="str">
        <x:v>Error</x:v>
      </x:c>
      <x:c r="M50" s="30" t="str">
        <x:v>Crawling/Indexing</x:v>
      </x:c>
      <x:c r="N50" s="30" t="str">
        <x:v>Elementor、React/Next、第三方建站都应抽查。</x:v>
      </x:c>
    </x:row>
    <x:row r="51" ht="66" customHeight="1">
      <x:c r="A51" s="30" t="n">
        <x:v>47</x:v>
      </x:c>
      <x:c r="B51" s="30" t="str">
        <x:v>JavaScript SEO</x:v>
      </x:c>
      <x:c r="C51" s="30" t="str">
        <x:v>可抓取链接 &lt;a href&gt;</x:v>
      </x:c>
      <x:c r="D51" s="30" t="str">
        <x:v>检查按钮、菜单、卡片是否只有 onclick/JS 导航而没有标准 a href。</x:v>
      </x:c>
      <x:c r="E51" s="30" t="str">
        <x:v>High</x:v>
      </x:c>
      <x:c r="F51" s="30" t="str">
        <x:v>查看源码/Rendered HTML；抓取 Outlinks。</x:v>
      </x:c>
      <x:c r="G51" s="30" t="str">
        <x:v>Screaming Frog, Chrome DevTools</x:v>
      </x:c>
      <x:c r="H51" s="30" t="str">
        <x:v>重要站内导航与 CTA 使用标准 &lt;a href='URL'&gt;。</x:v>
      </x:c>
      <x:c r="I51" s="30" t="str">
        <x:v>Dev/SEO</x:v>
      </x:c>
      <x:c r="J51" s="30" t="str">
        <x:v>Open</x:v>
      </x:c>
      <x:c r="K51" s="30" t="str">
        <x:v>核心产品、分类、博客链接均可被爬虫直接解析。</x:v>
      </x:c>
      <x:c r="L51" s="30" t="str">
        <x:v>Error</x:v>
      </x:c>
      <x:c r="M51" s="30" t="str">
        <x:v>Crawling/Ranking</x:v>
      </x:c>
      <x:c r="N51" s="30" t="str">
        <x:v>Mega Menu、Elementor 卡片和 JS 组件重点检查。</x:v>
      </x:c>
    </x:row>
    <x:row r="52" ht="66" customHeight="1">
      <x:c r="A52" s="30" t="n">
        <x:v>48</x:v>
      </x:c>
      <x:c r="B52" s="30" t="str">
        <x:v>JavaScript SEO</x:v>
      </x:c>
      <x:c r="C52" s="30" t="str">
        <x:v>Lazy-load 内容可索引</x:v>
      </x:c>
      <x:c r="D52" s="30" t="str">
        <x:v>检查内容是否必须滚动、点击、展开或 Load More 后才进入 DOM。</x:v>
      </x:c>
      <x:c r="E52" s="30" t="str">
        <x:v>High</x:v>
      </x:c>
      <x:c r="F52" s="30" t="str">
        <x:v>关闭交互查看 Rendered HTML；GSC 渲染；模拟无用户操作抓取。</x:v>
      </x:c>
      <x:c r="G52" s="30" t="str">
        <x:v>Chrome DevTools, GSC, Screaming Frog</x:v>
      </x:c>
      <x:c r="H52" s="30" t="str">
        <x:v>核心 SEO 内容无需点击即可出现在可渲染 DOM；Lazy-load 使用标准方式。</x:v>
      </x:c>
      <x:c r="I52" s="30" t="str">
        <x:v>Dev</x:v>
      </x:c>
      <x:c r="J52" s="30" t="str">
        <x:v>Open</x:v>
      </x:c>
      <x:c r="K52" s="30" t="str">
        <x:v>Google 渲染可发现重要文本、产品卡片和链接。</x:v>
      </x:c>
      <x:c r="L52" s="30" t="str">
        <x:v>Error</x:v>
      </x:c>
      <x:c r="M52" s="30" t="str">
        <x:v>Indexing/Crawling</x:v>
      </x:c>
      <x:c r="N52" s="30" t="str">
        <x:v>不要让 Load More 成为唯一发现路径。</x:v>
      </x:c>
    </x:row>
    <x:row r="53" ht="66" customHeight="1">
      <x:c r="A53" s="30" t="n">
        <x:v>49</x:v>
      </x:c>
      <x:c r="B53" s="30" t="str">
        <x:v>URL 与重定向</x:v>
      </x:c>
      <x:c r="C53" s="30" t="str">
        <x:v>URL 规范化完整性</x:v>
      </x:c>
      <x:c r="D53" s="30" t="str">
        <x:v>检查大小写、尾斜杠、index.php/index.html、HTTP、www、参数等重复版本。</x:v>
      </x:c>
      <x:c r="E53" s="30" t="str">
        <x:v>High</x:v>
      </x:c>
      <x:c r="F53" s="30" t="str">
        <x:v>组合访问 URL 变体；抓取 canonical 与 redirect。</x:v>
      </x:c>
      <x:c r="G53" s="30" t="str">
        <x:v>Screaming Frog, curl</x:v>
      </x:c>
      <x:c r="H53" s="30" t="str">
        <x:v>确定唯一 URL 规范并统一 301、canonical、内链、sitemap 与 hreflang。</x:v>
      </x:c>
      <x:c r="I53" s="30" t="str">
        <x:v>Dev/SEO</x:v>
      </x:c>
      <x:c r="J53" s="30" t="str">
        <x:v>Open</x:v>
      </x:c>
      <x:c r="K53" s="30" t="str">
        <x:v>每个内容只有一个最终规范 URL。</x:v>
      </x:c>
      <x:c r="L53" s="30" t="str">
        <x:v>Error</x:v>
      </x:c>
      <x:c r="M53" s="30" t="str">
        <x:v>Indexing</x:v>
      </x:c>
      <x:c r="N53" s="30" t="str">
        <x:v>迁移站和旧站尤其常见。</x:v>
      </x:c>
    </x:row>
    <x:row r="54" ht="66" customHeight="1">
      <x:c r="A54" s="30" t="n">
        <x:v>50</x:v>
      </x:c>
      <x:c r="B54" s="30" t="str">
        <x:v>URL 与重定向</x:v>
      </x:c>
      <x:c r="C54" s="30" t="str">
        <x:v>重定向目标相关性</x:v>
      </x:c>
      <x:c r="D54" s="30" t="str">
        <x:v>检查旧 URL 是否被批量跳到首页、无关分类或错误语言页。</x:v>
      </x:c>
      <x:c r="E54" s="30" t="str">
        <x:v>High</x:v>
      </x:c>
      <x:c r="F54" s="30" t="str">
        <x:v>导出所有 3xx，人工比对 Source/Target 主题。</x:v>
      </x:c>
      <x:c r="G54" s="30" t="str">
        <x:v>Screaming Frog</x:v>
      </x:c>
      <x:c r="H54" s="30" t="str">
        <x:v>有对应内容时 301 到最相关 URL；无替代内容返回 404/410。</x:v>
      </x:c>
      <x:c r="I54" s="30" t="str">
        <x:v>SEO/Dev</x:v>
      </x:c>
      <x:c r="J54" s="30" t="str">
        <x:v>Open</x:v>
      </x:c>
      <x:c r="K54" s="30" t="str">
        <x:v>重要重定向均高度相关，无万能首页跳转。</x:v>
      </x:c>
      <x:c r="L54" s="30" t="str">
        <x:v>Error</x:v>
      </x:c>
      <x:c r="M54" s="30" t="str">
        <x:v>Ranking/Indexing</x:v>
      </x:c>
      <x:c r="N54" s="30" t="str">
        <x:v>错误目标可能被视为 Soft 404。</x:v>
      </x:c>
    </x:row>
    <x:row r="55" ht="66" customHeight="1">
      <x:c r="A55" s="30" t="n">
        <x:v>51</x:v>
      </x:c>
      <x:c r="B55" s="30" t="str">
        <x:v>URL 与重定向</x:v>
      </x:c>
      <x:c r="C55" s="30" t="str">
        <x:v>站内链接指向重定向 URL</x:v>
      </x:c>
      <x:c r="D55" s="30" t="str">
        <x:v>识别内部仍指向旧 301/302 地址的链接。</x:v>
      </x:c>
      <x:c r="E55" s="30" t="str">
        <x:v>Medium</x:v>
      </x:c>
      <x:c r="F55" s="30" t="str">
        <x:v>Bulk Export → Redirection Inlinks。</x:v>
      </x:c>
      <x:c r="G55" s="30" t="str">
        <x:v>Screaming Frog</x:v>
      </x:c>
      <x:c r="H55" s="30" t="str">
        <x:v>把内部链接直接改到最终 200 URL。</x:v>
      </x:c>
      <x:c r="I55" s="30" t="str">
        <x:v>Content/Dev</x:v>
      </x:c>
      <x:c r="J55" s="30" t="str">
        <x:v>Open</x:v>
      </x:c>
      <x:c r="K55" s="30" t="str">
        <x:v>核心页面内部链接不经过无必要跳转。</x:v>
      </x:c>
      <x:c r="L55" s="30" t="str">
        <x:v>Warning</x:v>
      </x:c>
      <x:c r="M55" s="30" t="str">
        <x:v>Crawling/Performance</x:v>
      </x:c>
      <x:c r="N55" s="30" t="str">
        <x:v>大型模板问题应批量修复。</x:v>
      </x:c>
    </x:row>
    <x:row r="56" ht="66" customHeight="1">
      <x:c r="A56" s="30" t="n">
        <x:v>52</x:v>
      </x:c>
      <x:c r="B56" s="30" t="str">
        <x:v>内容与关键词</x:v>
      </x:c>
      <x:c r="C56" s="30" t="str">
        <x:v>关键词蚕食 Cannibalization</x:v>
      </x:c>
      <x:c r="D56" s="30" t="str">
        <x:v>检测多个页面竞争同一关键词，导致排名 URL 切换、CTR 和权重分散。</x:v>
      </x:c>
      <x:c r="E56" s="30" t="str">
        <x:v>High</x:v>
      </x:c>
      <x:c r="F56" s="30" t="str">
        <x:v>GSC Query→Pages；Semrush Keyword/URL；比较 Title/H1 与搜索意图。</x:v>
      </x:c>
      <x:c r="G56" s="30" t="str">
        <x:v>GSC, Semrush</x:v>
      </x:c>
      <x:c r="H56" s="30" t="str">
        <x:v>建立 Keyword-to-URL Map；合并重复主题或重新定义主次意图与内链。</x:v>
      </x:c>
      <x:c r="I56" s="30" t="str">
        <x:v>SEO/Content</x:v>
      </x:c>
      <x:c r="J56" s="30" t="str">
        <x:v>Open</x:v>
      </x:c>
      <x:c r="K56" s="30" t="str">
        <x:v>核心商业关键词有明确唯一主落地页，URL 不频繁互换。</x:v>
      </x:c>
      <x:c r="L56" s="30" t="str">
        <x:v>Error</x:v>
      </x:c>
      <x:c r="M56" s="30" t="str">
        <x:v>Ranking</x:v>
      </x:c>
      <x:c r="N56" s="30" t="str">
        <x:v>排名下降诊断中的关键项目。</x:v>
      </x:c>
    </x:row>
    <x:row r="57" ht="66" customHeight="1">
      <x:c r="A57" s="30" t="n">
        <x:v>53</x:v>
      </x:c>
      <x:c r="B57" s="30" t="str">
        <x:v>内容与关键词</x:v>
      </x:c>
      <x:c r="C57" s="30" t="str">
        <x:v>搜索意图匹配</x:v>
      </x:c>
      <x:c r="D57" s="30" t="str">
        <x:v>判断落地页类型与当前 SERP 主流意图是否匹配。</x:v>
      </x:c>
      <x:c r="E57" s="30" t="str">
        <x:v>High</x:v>
      </x:c>
      <x:c r="F57" s="30" t="str">
        <x:v>人工检查目标关键词前 10 结果类型、内容结构、商业/信息意图。</x:v>
      </x:c>
      <x:c r="G57" s="30" t="str">
        <x:v>Google Search, Semrush</x:v>
      </x:c>
      <x:c r="H57" s="30" t="str">
        <x:v>调整页面定位、内容结构，或创建更匹配意图的新页。</x:v>
      </x:c>
      <x:c r="I57" s="30" t="str">
        <x:v>SEO/Content</x:v>
      </x:c>
      <x:c r="J57" s="30" t="str">
        <x:v>Open</x:v>
      </x:c>
      <x:c r="K57" s="30" t="str">
        <x:v>主要关键词落地页类型与 SERP 意图明显一致。</x:v>
      </x:c>
      <x:c r="L57" s="30" t="str">
        <x:v>Error</x:v>
      </x:c>
      <x:c r="M57" s="30" t="str">
        <x:v>Ranking</x:v>
      </x:c>
      <x:c r="N57" s="30" t="str">
        <x:v>避免用博客抢 Manufacturer/Supplier 等商业词。</x:v>
      </x:c>
    </x:row>
    <x:row r="58" ht="66" customHeight="1">
      <x:c r="A58" s="30" t="n">
        <x:v>54</x:v>
      </x:c>
      <x:c r="B58" s="30" t="str">
        <x:v>内容与关键词</x:v>
      </x:c>
      <x:c r="C58" s="30" t="str">
        <x:v>关键词—页面映射表</x:v>
      </x:c>
      <x:c r="D58" s="30" t="str">
        <x:v>建立核心关键词与唯一目标 URL、意图、主次关键词的长期映射。</x:v>
      </x:c>
      <x:c r="E58" s="30" t="str">
        <x:v>High</x:v>
      </x:c>
      <x:c r="F58" s="30" t="str">
        <x:v>汇总 GSC、Semrush、URL、Title、H1 与业务目标。</x:v>
      </x:c>
      <x:c r="G58" s="30" t="str">
        <x:v>GSC, Semrush, Excel</x:v>
      </x:c>
      <x:c r="H58" s="30" t="str">
        <x:v>建立 Keyword Map 并定期更新。</x:v>
      </x:c>
      <x:c r="I58" s="30" t="str">
        <x:v>SEO</x:v>
      </x:c>
      <x:c r="J58" s="30" t="str">
        <x:v>Open</x:v>
      </x:c>
      <x:c r="K58" s="30" t="str">
        <x:v>所有核心商业词有明确 Target URL，无明显重叠。</x:v>
      </x:c>
      <x:c r="L58" s="30" t="str">
        <x:v>Opportunity</x:v>
      </x:c>
      <x:c r="M58" s="30" t="str">
        <x:v>Ranking/Maintenance</x:v>
      </x:c>
      <x:c r="N58" s="30" t="str">
        <x:v>可作为内容规划与改版验收基础。</x:v>
      </x:c>
    </x:row>
    <x:row r="59" ht="66" customHeight="1">
      <x:c r="A59" s="30" t="n">
        <x:v>55</x:v>
      </x:c>
      <x:c r="B59" s="30" t="str">
        <x:v>内容质量</x:v>
      </x:c>
      <x:c r="C59" s="30" t="str">
        <x:v>内容独特价值与信息增益</x:v>
      </x:c>
      <x:c r="D59" s="30" t="str">
        <x:v>检查是否仅有行业通用/AI模板描述，缺少真实制造与采购决策信息。</x:v>
      </x:c>
      <x:c r="E59" s="30" t="str">
        <x:v>High</x:v>
      </x:c>
      <x:c r="F59" s="30" t="str">
        <x:v>人工抽查重点页并与 SERP 竞争页比较。</x:v>
      </x:c>
      <x:c r="G59" s="30" t="str">
        <x:v>Manual, Semrush</x:v>
      </x:c>
      <x:c r="H59" s="30" t="str">
        <x:v>增加材料结构、MOQ、尺寸、阻隔、测试、生产流程、应用限制、案例等一手内容。</x:v>
      </x:c>
      <x:c r="I59" s="30" t="str">
        <x:v>Content/Product/SEO</x:v>
      </x:c>
      <x:c r="J59" s="30" t="str">
        <x:v>Open</x:v>
      </x:c>
      <x:c r="K59" s="30" t="str">
        <x:v>核心商业页面包含明显区别于竞品的一手信息与采购价值。</x:v>
      </x:c>
      <x:c r="L59" s="30" t="str">
        <x:v>Error</x:v>
      </x:c>
      <x:c r="M59" s="30" t="str">
        <x:v>Ranking/Conversion</x:v>
      </x:c>
      <x:c r="N59" s="30" t="str">
        <x:v>B2B制造业重点。</x:v>
      </x:c>
    </x:row>
    <x:row r="60" ht="66" customHeight="1">
      <x:c r="A60" s="30" t="n">
        <x:v>56</x:v>
      </x:c>
      <x:c r="B60" s="30" t="str">
        <x:v>内容质量</x:v>
      </x:c>
      <x:c r="C60" s="30" t="str">
        <x:v>内容时效与过期信息</x:v>
      </x:c>
      <x:c r="D60" s="30" t="str">
        <x:v>检查年份、认证、规格、MOQ、交期、联系方式、设备能力等是否过期。</x:v>
      </x:c>
      <x:c r="E60" s="30" t="str">
        <x:v>Medium</x:v>
      </x:c>
      <x:c r="F60" s="30" t="str">
        <x:v>人工抽查高流量与高商业价值页。</x:v>
      </x:c>
      <x:c r="G60" s="30" t="str">
        <x:v>Manual, GSC</x:v>
      </x:c>
      <x:c r="H60" s="30" t="str">
        <x:v>更新失效信息；只有实质变化才更新发布日期/lastmod。</x:v>
      </x:c>
      <x:c r="I60" s="30" t="str">
        <x:v>Content/Product</x:v>
      </x:c>
      <x:c r="J60" s="30" t="str">
        <x:v>Open</x:v>
      </x:c>
      <x:c r="K60" s="30" t="str">
        <x:v>重要商业信息与公司当前能力一致。</x:v>
      </x:c>
      <x:c r="L60" s="30" t="str">
        <x:v>Warning</x:v>
      </x:c>
      <x:c r="M60" s="30" t="str">
        <x:v>Ranking/Conversion</x:v>
      </x:c>
      <x:c r="N60" s="30" t="str">
        <x:v>避免为了SEO机械修改日期。</x:v>
      </x:c>
    </x:row>
    <x:row r="61" ht="66" customHeight="1">
      <x:c r="A61" s="30" t="n">
        <x:v>57</x:v>
      </x:c>
      <x:c r="B61" s="30" t="str">
        <x:v>信任与 E-E-A-T</x:v>
      </x:c>
      <x:c r="C61" s="30" t="str">
        <x:v>企业实体与信任信息</x:v>
      </x:c>
      <x:c r="D61" s="30" t="str">
        <x:v>检查 About、Contact、Factory、Certifications、Privacy、Terms、作者/审核者等真实性与一致性。</x:v>
      </x:c>
      <x:c r="E61" s="30" t="str">
        <x:v>High</x:v>
      </x:c>
      <x:c r="F61" s="30" t="str">
        <x:v>全站人工审核 + Schema/NAP 对比。</x:v>
      </x:c>
      <x:c r="G61" s="30" t="str">
        <x:v>Manual, Screaming Frog, Rich Results Test</x:v>
      </x:c>
      <x:c r="H61" s="30" t="str">
        <x:v>补充真实公司名称、地址、联系方式、工厂能力、证书、团队/审核信息。</x:v>
      </x:c>
      <x:c r="I61" s="30" t="str">
        <x:v>Content/SEO</x:v>
      </x:c>
      <x:c r="J61" s="30" t="str">
        <x:v>Open</x:v>
      </x:c>
      <x:c r="K61" s="30" t="str">
        <x:v>核心信任页面完整，企业实体信息跨页面保持一致。</x:v>
      </x:c>
      <x:c r="L61" s="30" t="str">
        <x:v>Opportunity</x:v>
      </x:c>
      <x:c r="M61" s="30" t="str">
        <x:v>Trust/Conversion</x:v>
      </x:c>
      <x:c r="N61" s="30" t="str">
        <x:v>B2B外贸站优先级高。</x:v>
      </x:c>
    </x:row>
    <x:row r="62" ht="66" customHeight="1">
      <x:c r="A62" s="30" t="n">
        <x:v>58</x:v>
      </x:c>
      <x:c r="B62" s="30" t="str">
        <x:v>国际化 / 多语言</x:v>
      </x:c>
      <x:c r="C62" s="30" t="str">
        <x:v>hreflang 可索引一致性</x:v>
      </x:c>
      <x:c r="D62" s="30" t="str">
        <x:v>确保 hreflang 目标均 200、可索引、canonical 正确并互相返回。</x:v>
      </x:c>
      <x:c r="E62" s="30" t="str">
        <x:v>High</x:v>
      </x:c>
      <x:c r="F62" s="30" t="str">
        <x:v>检查 Noindex Return Links、Non-Canonical Return Links、Missing Return Links。</x:v>
      </x:c>
      <x:c r="G62" s="30" t="str">
        <x:v>Screaming Frog</x:v>
      </x:c>
      <x:c r="H62" s="30" t="str">
        <x:v>从 hreflang 移除 noindex/404/redirect URL；修复 canonical 与双向互指。</x:v>
      </x:c>
      <x:c r="I62" s="30" t="str">
        <x:v>SEO/Dev</x:v>
      </x:c>
      <x:c r="J62" s="30" t="str">
        <x:v>Open</x:v>
      </x:c>
      <x:c r="K62" s="30" t="str">
        <x:v>有效 hreflang URL 均 200、Indexable、self-canonical、双向返回。</x:v>
      </x:c>
      <x:c r="L62" s="30" t="str">
        <x:v>Error</x:v>
      </x:c>
      <x:c r="M62" s="30" t="str">
        <x:v>International/Indexing</x:v>
      </x:c>
      <x:c r="N62" s="30" t="str">
        <x:v>未完成语言页面应暂时移除 hreflang。</x:v>
      </x:c>
    </x:row>
    <x:row r="63" ht="66" customHeight="1">
      <x:c r="A63" s="30" t="n">
        <x:v>59</x:v>
      </x:c>
      <x:c r="B63" s="30" t="str">
        <x:v>国际化 / 多语言</x:v>
      </x:c>
      <x:c r="C63" s="30" t="str">
        <x:v>语言与 hreflang 代码匹配</x:v>
      </x:c>
      <x:c r="D63" s="30" t="str">
        <x:v>检查 en/de/es/ru/id 等代码与实际页面语言、地区是否一致，x-default 是否合理。</x:v>
      </x:c>
      <x:c r="E63" s="30" t="str">
        <x:v>Medium</x:v>
      </x:c>
      <x:c r="F63" s="30" t="str">
        <x:v>抓取 hreflang 并人工抽样页面语言。</x:v>
      </x:c>
      <x:c r="G63" s="30" t="str">
        <x:v>Screaming Frog, Manual</x:v>
      </x:c>
      <x:c r="H63" s="30" t="str">
        <x:v>修复错误语言/地区代码和跨语言错链。</x:v>
      </x:c>
      <x:c r="I63" s="30" t="str">
        <x:v>SEO/Content</x:v>
      </x:c>
      <x:c r="J63" s="30" t="str">
        <x:v>Open</x:v>
      </x:c>
      <x:c r="K63" s="30" t="str">
        <x:v>hreflang 代码与真实内容语言一致，无无效值。</x:v>
      </x:c>
      <x:c r="L63" s="30" t="str">
        <x:v>Error</x:v>
      </x:c>
      <x:c r="M63" s="30" t="str">
        <x:v>International</x:v>
      </x:c>
      <x:c r="N63" s="30" t="str">
        <x:v>机器翻译页也应检查残留英文与语言混杂。</x:v>
      </x:c>
    </x:row>
    <x:row r="64" ht="66" customHeight="1">
      <x:c r="A64" s="30" t="n">
        <x:v>60</x:v>
      </x:c>
      <x:c r="B64" s="30" t="str">
        <x:v>国际化 / 多语言</x:v>
      </x:c>
      <x:c r="C64" s="30" t="str">
        <x:v>多语言 Canonical 策略</x:v>
      </x:c>
      <x:c r="D64" s="30" t="str">
        <x:v>检查不同语言页面是否错误 canonical 到英文或其他语言。</x:v>
      </x:c>
      <x:c r="E64" s="30" t="str">
        <x:v>High</x:v>
      </x:c>
      <x:c r="F64" s="30" t="str">
        <x:v>按语言目录过滤 Canonical；与 hreflang 交叉分析。</x:v>
      </x:c>
      <x:c r="G64" s="30" t="str">
        <x:v>Screaming Frog</x:v>
      </x:c>
      <x:c r="H64" s="30" t="str">
        <x:v>计划独立收录的翻译页使用 self-canonical；真正重复内容才规范化。</x:v>
      </x:c>
      <x:c r="I64" s="30" t="str">
        <x:v>SEO/Dev</x:v>
      </x:c>
      <x:c r="J64" s="30" t="str">
        <x:v>Open</x:v>
      </x:c>
      <x:c r="K64" s="30" t="str">
        <x:v>所有计划独立收录的语言页 self-canonical，且与 hreflang 一致。</x:v>
      </x:c>
      <x:c r="L64" s="30" t="str">
        <x:v>Error</x:v>
      </x:c>
      <x:c r="M64" s="30" t="str">
        <x:v>International/Indexing</x:v>
      </x:c>
      <x:c r="N64" s="30" t="str">
        <x:v>典型高风险问题。</x:v>
      </x:c>
    </x:row>
    <x:row r="65" ht="66" customHeight="1">
      <x:c r="A65" s="30" t="n">
        <x:v>61</x:v>
      </x:c>
      <x:c r="B65" s="30" t="str">
        <x:v>技术性能</x:v>
      </x:c>
      <x:c r="C65" s="30" t="str">
        <x:v>Field Data 与 Lab Data 分离</x:v>
      </x:c>
      <x:c r="D65" s="30" t="str">
        <x:v>避免只看 Lighthouse 分数，必须区分真实用户 CrUX 与实验室诊断。</x:v>
      </x:c>
      <x:c r="E65" s="30" t="str">
        <x:v>High</x:v>
      </x:c>
      <x:c r="F65" s="30" t="str">
        <x:v>PSI 同时查看 Field Data、Diagnostics；按模板/URL 分组。</x:v>
      </x:c>
      <x:c r="G65" s="30" t="str">
        <x:v>PageSpeed Insights, CrUX, Lighthouse</x:v>
      </x:c>
      <x:c r="H65" s="30" t="str">
        <x:v>优先修真实用户不达标模板，再用 Lab Data 定位技术原因。</x:v>
      </x:c>
      <x:c r="I65" s="30" t="str">
        <x:v>Dev/SEO</x:v>
      </x:c>
      <x:c r="J65" s="30" t="str">
        <x:v>Open</x:v>
      </x:c>
      <x:c r="K65" s="30" t="str">
        <x:v>重点模板 CWV 真实用户数据持续改善并达到目标。</x:v>
      </x:c>
      <x:c r="L65" s="30" t="str">
        <x:v>Warning</x:v>
      </x:c>
      <x:c r="M65" s="30" t="str">
        <x:v>Performance/Ranking</x:v>
      </x:c>
      <x:c r="N65" s="30" t="str">
        <x:v>排名分析不要把单次 Lighthouse 分数直接等同排名因果。</x:v>
      </x:c>
    </x:row>
    <x:row r="66" ht="66" customHeight="1">
      <x:c r="A66" s="30" t="n">
        <x:v>62</x:v>
      </x:c>
      <x:c r="B66" s="30" t="str">
        <x:v>技术性能</x:v>
      </x:c>
      <x:c r="C66" s="30" t="str">
        <x:v>第三方脚本影响</x:v>
      </x:c>
      <x:c r="D66" s="30" t="str">
        <x:v>量化 GTM、GA4、聊天、广告、热图、OKKI、reCAPTCHA 等第三方脚本成本。</x:v>
      </x:c>
      <x:c r="E66" s="30" t="str">
        <x:v>High</x:v>
      </x:c>
      <x:c r="F66" s="30" t="str">
        <x:v>查看 PSI Third-party、DevTools Performance/Network/Long Tasks。</x:v>
      </x:c>
      <x:c r="G66" s="30" t="str">
        <x:v>PageSpeed Insights, Chrome DevTools</x:v>
      </x:c>
      <x:c r="H66" s="30" t="str">
        <x:v>延迟非必要脚本、交互后加载、去重统计代码。</x:v>
      </x:c>
      <x:c r="I66" s="30" t="str">
        <x:v>Dev/Analytics</x:v>
      </x:c>
      <x:c r="J66" s="30" t="str">
        <x:v>Open</x:v>
      </x:c>
      <x:c r="K66" s="30" t="str">
        <x:v>非关键第三方脚本不明显阻塞首屏或制造长任务。</x:v>
      </x:c>
      <x:c r="L66" s="30" t="str">
        <x:v>Warning</x:v>
      </x:c>
      <x:c r="M66" s="30" t="str">
        <x:v>Performance/Conversion</x:v>
      </x:c>
      <x:c r="N66" s="30" t="str">
        <x:v>外贸站常见性能瓶颈。</x:v>
      </x:c>
    </x:row>
    <x:row r="67" ht="66" customHeight="1">
      <x:c r="A67" s="30" t="n">
        <x:v>63</x:v>
      </x:c>
      <x:c r="B67" s="30" t="str">
        <x:v>技术性能</x:v>
      </x:c>
      <x:c r="C67" s="30" t="str">
        <x:v>字体加载与布局偏移</x:v>
      </x:c>
      <x:c r="D67" s="30" t="str">
        <x:v>检查 Web Font、FOIT/FOUT、未设尺寸媒体、Banner/Cookie 组件导致 CLS。</x:v>
      </x:c>
      <x:c r="E67" s="30" t="str">
        <x:v>Medium</x:v>
      </x:c>
      <x:c r="F67" s="30" t="str">
        <x:v>Lighthouse CLS diagnostics、Layout Shift Regions。</x:v>
      </x:c>
      <x:c r="G67" s="30" t="str">
        <x:v>PageSpeed Insights, Chrome DevTools</x:v>
      </x:c>
      <x:c r="H67" s="30" t="str">
        <x:v>预加载关键字体、font-display、设置媒体尺寸、预留动态区域空间。</x:v>
      </x:c>
      <x:c r="I67" s="30" t="str">
        <x:v>Dev</x:v>
      </x:c>
      <x:c r="J67" s="30" t="str">
        <x:v>Open</x:v>
      </x:c>
      <x:c r="K67" s="30" t="str">
        <x:v>核心页面 CLS≤0.1 且无明显视觉跳动。</x:v>
      </x:c>
      <x:c r="L67" s="30" t="str">
        <x:v>Warning</x:v>
      </x:c>
      <x:c r="M67" s="30" t="str">
        <x:v>Performance/UX</x:v>
      </x:c>
      <x:c r="N67" s="30" t="str">
        <x:v>移动端重点。</x:v>
      </x:c>
    </x:row>
    <x:row r="68" ht="66" customHeight="1">
      <x:c r="A68" s="30" t="n">
        <x:v>64</x:v>
      </x:c>
      <x:c r="B68" s="30" t="str">
        <x:v>WordPress 专项</x:v>
      </x:c>
      <x:c r="C68" s="30" t="str">
        <x:v>WP-Cron 与后台任务</x:v>
      </x:c>
      <x:c r="D68" s="30" t="str">
        <x:v>检查 wp-cron.php 高频调用、备份/扫描/同步任务拖慢服务器。</x:v>
      </x:c>
      <x:c r="E68" s="30" t="str">
        <x:v>Medium</x:v>
      </x:c>
      <x:c r="F68" s="30" t="str">
        <x:v>服务器日志、WP Cron Events、慢请求分析。</x:v>
      </x:c>
      <x:c r="G68" s="30" t="str">
        <x:v>WP-CLI, Query Monitor, Server Logs</x:v>
      </x:c>
      <x:c r="H68" s="30" t="str">
        <x:v>清理异常重复任务；必要时使用系统 Cron；降低高频扫描。</x:v>
      </x:c>
      <x:c r="I68" s="30" t="str">
        <x:v>Dev/Infra</x:v>
      </x:c>
      <x:c r="J68" s="30" t="str">
        <x:v>Open</x:v>
      </x:c>
      <x:c r="K68" s="30" t="str">
        <x:v>不存在明显影响 TTFB 的异常 Cron 或重复任务。</x:v>
      </x:c>
      <x:c r="L68" s="30" t="str">
        <x:v>Warning</x:v>
      </x:c>
      <x:c r="M68" s="30" t="str">
        <x:v>Performance/Maintenance</x:v>
      </x:c>
      <x:c r="N68" s="30" t="str">
        <x:v>插件多时重点检查。</x:v>
      </x:c>
    </x:row>
    <x:row r="69" ht="66" customHeight="1">
      <x:c r="A69" s="30" t="n">
        <x:v>65</x:v>
      </x:c>
      <x:c r="B69" s="30" t="str">
        <x:v>WordPress 专项</x:v>
      </x:c>
      <x:c r="C69" s="30" t="str">
        <x:v>数据库与 Autoload 膨胀</x:v>
      </x:c>
      <x:c r="D69" s="30" t="str">
        <x:v>检查 wp_options autoload、transients、修订和废弃插件表导致数据库负担。</x:v>
      </x:c>
      <x:c r="E69" s="30" t="str">
        <x:v>Medium</x:v>
      </x:c>
      <x:c r="F69" s="30" t="str">
        <x:v>数据库大小、autoload 体积、Query Monitor 慢查询。</x:v>
      </x:c>
      <x:c r="G69" s="30" t="str">
        <x:v>WP-CLI, Query Monitor, Database Tools</x:v>
      </x:c>
      <x:c r="H69" s="30" t="str">
        <x:v>备份后清理无效 autoload/transients 和废弃插件数据。</x:v>
      </x:c>
      <x:c r="I69" s="30" t="str">
        <x:v>Dev/DBA</x:v>
      </x:c>
      <x:c r="J69" s="30" t="str">
        <x:v>Open</x:v>
      </x:c>
      <x:c r="K69" s="30" t="str">
        <x:v>无明显异常 autoload 和慢查询，数据库大小与业务规模匹配。</x:v>
      </x:c>
      <x:c r="L69" s="30" t="str">
        <x:v>Warning</x:v>
      </x:c>
      <x:c r="M69" s="30" t="str">
        <x:v>Performance/Maintenance</x:v>
      </x:c>
      <x:c r="N69" s="30" t="str">
        <x:v>禁止无备份直接清库。</x:v>
      </x:c>
    </x:row>
    <x:row r="70" ht="66" customHeight="1">
      <x:c r="A70" s="30" t="n">
        <x:v>66</x:v>
      </x:c>
      <x:c r="B70" s="30" t="str">
        <x:v>WordPress 专项</x:v>
      </x:c>
      <x:c r="C70" s="30" t="str">
        <x:v>页面缓存/Object Cache/CDN 协同</x:v>
      </x:c>
      <x:c r="D70" s="30" t="str">
        <x:v>检查 WordPress 缓存、Redis/Object Cache 与 Cloudflare/CDN 是否冲突。</x:v>
      </x:c>
      <x:c r="E70" s="30" t="str">
        <x:v>High</x:v>
      </x:c>
      <x:c r="F70" s="30" t="str">
        <x:v>匿名访问检查 HIT/MISS、Cache-Control、动态页面缓存。</x:v>
      </x:c>
      <x:c r="G70" s="30" t="str">
        <x:v>curl, Cloudflare, WP Cache Plugin, Query Monitor</x:v>
      </x:c>
      <x:c r="H70" s="30" t="str">
        <x:v>明确缓存层级；动态页合理排除；避免多个插件重复做同一缓存。</x:v>
      </x:c>
      <x:c r="I70" s="30" t="str">
        <x:v>Dev/Infra</x:v>
      </x:c>
      <x:c r="J70" s="30" t="str">
        <x:v>Open</x:v>
      </x:c>
      <x:c r="K70" s="30" t="str">
        <x:v>匿名核心页面稳定命中缓存，登录/表单/购物车等动态功能正常。</x:v>
      </x:c>
      <x:c r="L70" s="30" t="str">
        <x:v>Error</x:v>
      </x:c>
      <x:c r="M70" s="30" t="str">
        <x:v>Performance</x:v>
      </x:c>
      <x:c r="N70" s="30" t="str">
        <x:v>缓存问题经常导致后台正常、用户端异常。</x:v>
      </x:c>
    </x:row>
    <x:row r="71" ht="66" customHeight="1">
      <x:c r="A71" s="30" t="n">
        <x:v>67</x:v>
      </x:c>
      <x:c r="B71" s="30" t="str">
        <x:v>WordPress 专项</x:v>
      </x:c>
      <x:c r="C71" s="30" t="str">
        <x:v>测试站/Staging 被索引</x:v>
      </x:c>
      <x:c r="D71" s="30" t="str">
        <x:v>检查 staging、dev、临时域名、主机预览域是否可被搜索引擎索引。</x:v>
      </x:c>
      <x:c r="E71" s="30" t="str">
        <x:v>Critical</x:v>
      </x:c>
      <x:c r="F71" s="30" t="str">
        <x:v>site: 搜索、DNS/子域检查、GSC、Semrush。</x:v>
      </x:c>
      <x:c r="G71" s="30" t="str">
        <x:v>Google Search, GSC, Semrush</x:v>
      </x:c>
      <x:c r="H71" s="30" t="str">
        <x:v>使用密码认证/访问控制；必要时 noindex；移除外部和站内链接。</x:v>
      </x:c>
      <x:c r="I71" s="30" t="str">
        <x:v>Dev/SEO</x:v>
      </x:c>
      <x:c r="J71" s="30" t="str">
        <x:v>Open</x:v>
      </x:c>
      <x:c r="K71" s="30" t="str">
        <x:v>测试环境不可被公开搜索引擎索引。</x:v>
      </x:c>
      <x:c r="L71" s="30" t="str">
        <x:v>Error</x:v>
      </x:c>
      <x:c r="M71" s="30" t="str">
        <x:v>Indexing</x:v>
      </x:c>
      <x:c r="N71" s="30" t="str">
        <x:v>复制站可能造成严重重复内容。</x:v>
      </x:c>
    </x:row>
    <x:row r="72" ht="66" customHeight="1">
      <x:c r="A72" s="30" t="n">
        <x:v>68</x:v>
      </x:c>
      <x:c r="B72" s="30" t="str">
        <x:v>WordPress 专项</x:v>
      </x:c>
      <x:c r="C72" s="30" t="str">
        <x:v>管理员账号与 2FA</x:v>
      </x:c>
      <x:c r="D72" s="30" t="str">
        <x:v>检查管理员数量、弱用户名、2FA、登录限速与暴力破解保护。</x:v>
      </x:c>
      <x:c r="E72" s="30" t="str">
        <x:v>High</x:v>
      </x:c>
      <x:c r="F72" s="30" t="str">
        <x:v>WP 用户列表、安全日志、WAF 事件。</x:v>
      </x:c>
      <x:c r="G72" s="30" t="str">
        <x:v>WP Admin, WAF, Security Plugin</x:v>
      </x:c>
      <x:c r="H72" s="30" t="str">
        <x:v>删除不用管理员；启用 2FA；限制 wp-login 暴力破解。</x:v>
      </x:c>
      <x:c r="I72" s="30" t="str">
        <x:v>Dev/Security</x:v>
      </x:c>
      <x:c r="J72" s="30" t="str">
        <x:v>Open</x:v>
      </x:c>
      <x:c r="K72" s="30" t="str">
        <x:v>所有高权限账号使用 2FA，异常登录受限。</x:v>
      </x:c>
      <x:c r="L72" s="30" t="str">
        <x:v>Error</x:v>
      </x:c>
      <x:c r="M72" s="30" t="str">
        <x:v>Security</x:v>
      </x:c>
      <x:c r="N72" s="30" t="str">
        <x:v>直接关系站点稳定性与业务连续性。</x:v>
      </x:c>
    </x:row>
    <x:row r="73" ht="66" customHeight="1">
      <x:c r="A73" s="30" t="n">
        <x:v>69</x:v>
      </x:c>
      <x:c r="B73" s="30" t="str">
        <x:v>WordPress 专项</x:v>
      </x:c>
      <x:c r="C73" s="30" t="str">
        <x:v>废弃插件与主题</x:v>
      </x:c>
      <x:c r="D73" s="30" t="str">
        <x:v>检查未使用、停止维护、重复功能或长期不更新的插件/主题。</x:v>
      </x:c>
      <x:c r="E73" s="30" t="str">
        <x:v>High</x:v>
      </x:c>
      <x:c r="F73" s="30" t="str">
        <x:v>后台版本、更新历史、漏洞公告。</x:v>
      </x:c>
      <x:c r="G73" s="30" t="str">
        <x:v>WP Admin, WP-CLI</x:v>
      </x:c>
      <x:c r="H73" s="30" t="str">
        <x:v>删除不用组件；替换停止维护插件；保留必要默认主题按策略。</x:v>
      </x:c>
      <x:c r="I73" s="30" t="str">
        <x:v>Dev/Security</x:v>
      </x:c>
      <x:c r="J73" s="30" t="str">
        <x:v>Open</x:v>
      </x:c>
      <x:c r="K73" s="30" t="str">
        <x:v>生产环境仅保留必要且持续维护组件。</x:v>
      </x:c>
      <x:c r="L73" s="30" t="str">
        <x:v>Error</x:v>
      </x:c>
      <x:c r="M73" s="30" t="str">
        <x:v>Security/Maintenance</x:v>
      </x:c>
      <x:c r="N73" s="30" t="str">
        <x:v>停用但保留的插件仍需更新或删除。</x:v>
      </x:c>
    </x:row>
    <x:row r="74" ht="66" customHeight="1">
      <x:c r="A74" s="30" t="n">
        <x:v>70</x:v>
      </x:c>
      <x:c r="B74" s="30" t="str">
        <x:v>用户体验 / Accessibility</x:v>
      </x:c>
      <x:c r="C74" s="30" t="str">
        <x:v>表单与链接可访问性</x:v>
      </x:c>
      <x:c r="D74" s="30" t="str">
        <x:v>检查 label、按钮可访问名称、空链接、图片链接 ALT、键盘导航和 viewport。</x:v>
      </x:c>
      <x:c r="E74" s="30" t="str">
        <x:v>Medium</x:v>
      </x:c>
      <x:c r="F74" s="30" t="str">
        <x:v>Lighthouse Accessibility + 手工键盘/移动端测试。</x:v>
      </x:c>
      <x:c r="G74" s="30" t="str">
        <x:v>Lighthouse, Chrome DevTools, Screaming Frog</x:v>
      </x:c>
      <x:c r="H74" s="30" t="str">
        <x:v>补充 label/aria-label、描述性链接文本；允许缩放；修复空链接。</x:v>
      </x:c>
      <x:c r="I74" s="30" t="str">
        <x:v>Dev/UX</x:v>
      </x:c>
      <x:c r="J74" s="30" t="str">
        <x:v>Open</x:v>
      </x:c>
      <x:c r="K74" s="30" t="str">
        <x:v>关键询盘表单、菜单和 CTA 无严重可访问性问题。</x:v>
      </x:c>
      <x:c r="L74" s="30" t="str">
        <x:v>Opportunity</x:v>
      </x:c>
      <x:c r="M74" s="30" t="str">
        <x:v>UX/Conversion</x:v>
      </x:c>
      <x:c r="N74" s="30" t="str">
        <x:v>也能改善页面质量和转化。</x:v>
      </x:c>
    </x:row>
    <x:row r="75" ht="66" customHeight="1">
      <x:c r="A75" s="30" t="n">
        <x:v>71</x:v>
      </x:c>
      <x:c r="B75" s="30" t="str">
        <x:v>转化与功能</x:v>
      </x:c>
      <x:c r="C75" s="30" t="str">
        <x:v>询盘表单端到端测试</x:v>
      </x:c>
      <x:c r="D75" s="30" t="str">
        <x:v>真实测试前端提交、后端接口、邮件送达、CRM 入库和 GA4 事件。</x:v>
      </x:c>
      <x:c r="E75" s="30" t="str">
        <x:v>Critical</x:v>
      </x:c>
      <x:c r="F75" s="30" t="str">
        <x:v>PC/移动端逐个提交主要表单，记录各系统结果。</x:v>
      </x:c>
      <x:c r="G75" s="30" t="str">
        <x:v>GA4, GTM, 邮箱, CRM, Tag Assistant</x:v>
      </x:c>
      <x:c r="H75" s="30" t="str">
        <x:v>修复验证、SMTP、接口、垃圾邮件过滤和事件重复/漏触发。</x:v>
      </x:c>
      <x:c r="I75" s="30" t="str">
        <x:v>Dev/Marketing</x:v>
      </x:c>
      <x:c r="J75" s="30" t="str">
        <x:v>Open</x:v>
      </x:c>
      <x:c r="K75" s="30" t="str">
        <x:v>PC/移动提交成功；邮箱/CRM收到；GA4 事件只触发一次。</x:v>
      </x:c>
      <x:c r="L75" s="30" t="str">
        <x:v>Error</x:v>
      </x:c>
      <x:c r="M75" s="30" t="str">
        <x:v>Conversion</x:v>
      </x:c>
      <x:c r="N75" s="30" t="str">
        <x:v>B2B独立站必须 P0。</x:v>
      </x:c>
    </x:row>
    <x:row r="76" ht="66" customHeight="1">
      <x:c r="A76" s="30" t="n">
        <x:v>72</x:v>
      </x:c>
      <x:c r="B76" s="30" t="str">
        <x:v>监控与跟踪</x:v>
      </x:c>
      <x:c r="C76" s="30" t="str">
        <x:v>Manual Actions 与 Security Issues</x:v>
      </x:c>
      <x:c r="D76" s="30" t="str">
        <x:v>定期检查 GSC 人工处置与安全问题。</x:v>
      </x:c>
      <x:c r="E76" s="30" t="str">
        <x:v>Critical</x:v>
      </x:c>
      <x:c r="F76" s="30" t="str">
        <x:v>GSC Manual Actions / Security Issues。</x:v>
      </x:c>
      <x:c r="G76" s="30" t="str">
        <x:v>Google Search Console</x:v>
      </x:c>
      <x:c r="H76" s="30" t="str">
        <x:v>按 Google 要求清除问题并提交复审。</x:v>
      </x:c>
      <x:c r="I76" s="30" t="str">
        <x:v>SEO/Security</x:v>
      </x:c>
      <x:c r="J76" s="30" t="str">
        <x:v>Open</x:v>
      </x:c>
      <x:c r="K76" s="30" t="str">
        <x:v>GSC 无 Manual Action 和 Security Issue。</x:v>
      </x:c>
      <x:c r="L76" s="30" t="str">
        <x:v>Error</x:v>
      </x:c>
      <x:c r="M76" s="30" t="str">
        <x:v>Ranking/Security</x:v>
      </x:c>
      <x:c r="N76" s="30" t="str">
        <x:v>排名突然大跌时第一批检查项。</x:v>
      </x:c>
    </x:row>
    <x:row r="77" ht="66" customHeight="1">
      <x:c r="A77" s="30" t="n">
        <x:v>73</x:v>
      </x:c>
      <x:c r="B77" s="30" t="str">
        <x:v>监控与跟踪</x:v>
      </x:c>
      <x:c r="C77" s="30" t="str">
        <x:v>SEO 修改日志</x:v>
      </x:c>
      <x:c r="D77" s="30" t="str">
        <x:v>记录 Title、内容、URL、redirect、canonical、hreflang、模板、Cloudflare、插件等重大变更。</x:v>
      </x:c>
      <x:c r="E77" s="30" t="str">
        <x:v>High</x:v>
      </x:c>
      <x:c r="F77" s="30" t="str">
        <x:v>将发布记录与 GSC 排名/流量趋势比对。</x:v>
      </x:c>
      <x:c r="G77" s="30" t="str">
        <x:v>Excel, Jira, Trello, GSC</x:v>
      </x:c>
      <x:c r="H77" s="30" t="str">
        <x:v>建立 Change Log，记录 URL、日期、负责人、变更前后和回滚方案。</x:v>
      </x:c>
      <x:c r="I77" s="30" t="str">
        <x:v>SEO/PM</x:v>
      </x:c>
      <x:c r="J77" s="30" t="str">
        <x:v>Open</x:v>
      </x:c>
      <x:c r="K77" s="30" t="str">
        <x:v>重大 SEO 变更可追溯到具体时间与页面。</x:v>
      </x:c>
      <x:c r="L77" s="30" t="str">
        <x:v>Opportunity</x:v>
      </x:c>
      <x:c r="M77" s="30" t="str">
        <x:v>Maintenance/Ranking</x:v>
      </x:c>
      <x:c r="N77" s="30" t="str">
        <x:v>诊断排名下降非常重要。</x:v>
      </x:c>
    </x:row>
    <x:row r="78" ht="66" customHeight="1">
      <x:c r="A78" s="30" t="n">
        <x:v>74</x:v>
      </x:c>
      <x:c r="B78" s="30" t="str">
        <x:v>监控与跟踪</x:v>
      </x:c>
      <x:c r="C78" s="30" t="str">
        <x:v>SEO 上线前后回归测试</x:v>
      </x:c>
      <x:c r="D78" s="30" t="str">
        <x:v>改版、主题/插件更新后复查状态码、robots、canonical、hreflang、TDK、Schema。</x:v>
      </x:c>
      <x:c r="E78" s="30" t="str">
        <x:v>High</x:v>
      </x:c>
      <x:c r="F78" s="30" t="str">
        <x:v>上线前后各抓取一次，做 Crawl Diff。</x:v>
      </x:c>
      <x:c r="G78" s="30" t="str">
        <x:v>Screaming Frog, GSC, Visual Diff</x:v>
      </x:c>
      <x:c r="H78" s="30" t="str">
        <x:v>建立发布 Checklist；重大更新后立即复抓。</x:v>
      </x:c>
      <x:c r="I78" s="30" t="str">
        <x:v>SEO/Dev</x:v>
      </x:c>
      <x:c r="J78" s="30" t="str">
        <x:v>Open</x:v>
      </x:c>
      <x:c r="K78" s="30" t="str">
        <x:v>上线未新增关键 Indexability、Redirect、Metadata 或 Schema 错误。</x:v>
      </x:c>
      <x:c r="L78" s="30" t="str">
        <x:v>Error</x:v>
      </x:c>
      <x:c r="M78" s="30" t="str">
        <x:v>Maintenance/Indexing</x:v>
      </x:c>
      <x:c r="N78" s="30" t="str">
        <x:v>WordPress主题更新尤其重要。</x:v>
      </x:c>
    </x:row>
    <x:row r="79" ht="66" customHeight="1">
      <x:c r="A79" s="30" t="n">
        <x:v>75</x:v>
      </x:c>
      <x:c r="B79" s="30" t="str">
        <x:v>排名与竞争</x:v>
      </x:c>
      <x:c r="C79" s="30" t="str">
        <x:v>设备/国家排名拆分</x:v>
      </x:c>
      <x:c r="D79" s="30" t="str">
        <x:v>避免只看全站平均排名，按国家、设备、页面和查询拆分。</x:v>
      </x:c>
      <x:c r="E79" s="30" t="str">
        <x:v>High</x:v>
      </x:c>
      <x:c r="F79" s="30" t="str">
        <x:v>GSC Country/Device/Page/Query 对比；Semrush Position Tracking。</x:v>
      </x:c>
      <x:c r="G79" s="30" t="str">
        <x:v>GSC, Semrush</x:v>
      </x:c>
      <x:c r="H79" s="30" t="str">
        <x:v>建立 US/UK/DE 等核心市场和 Mobile/Desktop 基准。</x:v>
      </x:c>
      <x:c r="I79" s="30" t="str">
        <x:v>SEO</x:v>
      </x:c>
      <x:c r="J79" s="30" t="str">
        <x:v>Open</x:v>
      </x:c>
      <x:c r="K79" s="30" t="str">
        <x:v>核心关键词可按国家、设备和 URL 持续追踪。</x:v>
      </x:c>
      <x:c r="L79" s="30" t="str">
        <x:v>Opportunity</x:v>
      </x:c>
      <x:c r="M79" s="30" t="str">
        <x:v>Ranking</x:v>
      </x:c>
      <x:c r="N79" s="30" t="str">
        <x:v>平均排名下降经常是设备/国家结构变化造成。</x:v>
      </x:c>
    </x:row>
    <x:row r="80" ht="66" customHeight="1">
      <x:c r="A80" s="30" t="n">
        <x:v>76</x:v>
      </x:c>
      <x:c r="B80" s="30" t="str">
        <x:v>排名与竞争</x:v>
      </x:c>
      <x:c r="C80" s="30" t="str">
        <x:v>下降页面与下降关键词一一映射</x:v>
      </x:c>
      <x:c r="D80" s="30" t="str">
        <x:v>对流量下降页面定位具体 Query，而非只看页面平均 Position。</x:v>
      </x:c>
      <x:c r="E80" s="30" t="str">
        <x:v>High</x:v>
      </x:c>
      <x:c r="F80" s="30" t="str">
        <x:v>GSC 先筛 Page 再看 Queries，比较 28 天/28 天；Semrush 交叉验证。</x:v>
      </x:c>
      <x:c r="G80" s="30" t="str">
        <x:v>GSC, Semrush</x:v>
      </x:c>
      <x:c r="H80" s="30" t="str">
        <x:v>建立页面级 Query 变化表，优先处理高 Impression 且排名 4-20 下滑词。</x:v>
      </x:c>
      <x:c r="I80" s="30" t="str">
        <x:v>SEO</x:v>
      </x:c>
      <x:c r="J80" s="30" t="str">
        <x:v>Open</x:v>
      </x:c>
      <x:c r="K80" s="30" t="str">
        <x:v>每个 P0/P1 下降页记录主要下降词、位置、点击、展示和 CTR 变化。</x:v>
      </x:c>
      <x:c r="L80" s="30" t="str">
        <x:v>Error</x:v>
      </x:c>
      <x:c r="M80" s="30" t="str">
        <x:v>Ranking</x:v>
      </x:c>
      <x:c r="N80" s="30" t="str">
        <x:v>用于月度排名诊断。</x:v>
      </x:c>
    </x:row>
    <x:row r="81" ht="66" customHeight="1">
      <x:c r="A81" s="30" t="n">
        <x:v>77</x:v>
      </x:c>
      <x:c r="B81" s="30" t="str">
        <x:v>链接分析</x:v>
      </x:c>
      <x:c r="C81" s="30" t="str">
        <x:v>重要页面 Lost Backlinks</x:v>
      </x:c>
      <x:c r="D81" s="30" t="str">
        <x:v>检测排名下降页面同期是否丢失高质量反向链接/引用域。</x:v>
      </x:c>
      <x:c r="E81" s="30" t="str">
        <x:v>Medium</x:v>
      </x:c>
      <x:c r="F81" s="30" t="str">
        <x:v>Semrush Lost Backlinks / Referring Domains 按 URL 分析。</x:v>
      </x:c>
      <x:c r="G81" s="30" t="str">
        <x:v>Semrush, GSC</x:v>
      </x:c>
      <x:c r="H81" s="30" t="str">
        <x:v>恢复可恢复链接；通过内容资产和行业合作获取真实引用。</x:v>
      </x:c>
      <x:c r="I81" s="30" t="str">
        <x:v>SEO/PR</x:v>
      </x:c>
      <x:c r="J81" s="30" t="str">
        <x:v>Open</x:v>
      </x:c>
      <x:c r="K81" s="30" t="str">
        <x:v>核心下降页面的外链变化原因已确认。</x:v>
      </x:c>
      <x:c r="L81" s="30" t="str">
        <x:v>Warning</x:v>
      </x:c>
      <x:c r="M81" s="30" t="str">
        <x:v>Ranking/Authority</x:v>
      </x:c>
      <x:c r="N81" s="30" t="str">
        <x:v>不要因垃圾链接自然消失误判。</x:v>
      </x:c>
    </x:row>
    <x:row r="82" ht="66" customHeight="1">
      <x:c r="A82" s="30" t="n">
        <x:v>78</x:v>
      </x:c>
      <x:c r="B82" s="30" t="str">
        <x:v>结构化数据</x:v>
      </x:c>
      <x:c r="C82" s="30" t="str">
        <x:v>Schema 与可见内容一致</x:v>
      </x:c>
      <x:c r="D82" s="30" t="str">
        <x:v>结构化数据中的产品、组织、FAQ、作者、评分等必须与用户可见内容一致。</x:v>
      </x:c>
      <x:c r="E82" s="30" t="str">
        <x:v>Medium</x:v>
      </x:c>
      <x:c r="F82" s="30" t="str">
        <x:v>Rich Results Test + 页面可见内容人工比对。</x:v>
      </x:c>
      <x:c r="G82" s="30" t="str">
        <x:v>Rich Results Test, Screaming Frog</x:v>
      </x:c>
      <x:c r="H82" s="30" t="str">
        <x:v>删除隐藏/虚假/冲突字段；保持单一可信数据源。</x:v>
      </x:c>
      <x:c r="I82" s="30" t="str">
        <x:v>SEO/Dev</x:v>
      </x:c>
      <x:c r="J82" s="30" t="str">
        <x:v>Open</x:v>
      </x:c>
      <x:c r="K82" s="30" t="str">
        <x:v>Schema 无严重错误，关键属性与页面可见内容一致。</x:v>
      </x:c>
      <x:c r="L82" s="30" t="str">
        <x:v>Error</x:v>
      </x:c>
      <x:c r="M82" s="30" t="str">
        <x:v>CTR/Trust</x:v>
      </x:c>
      <x:c r="N82" s="30" t="str">
        <x:v>不要为了富结果堆叠不可见内容。</x:v>
      </x:c>
    </x:row>
    <x:row r="83" ht="66" customHeight="1">
      <x:c r="A83" s="30" t="n">
        <x:v>79</x:v>
      </x:c>
      <x:c r="B83" s="30" t="str">
        <x:v>媒体与富媒体</x:v>
      </x:c>
      <x:c r="C83" s="30" t="str">
        <x:v>图片尺寸/ALT/链接语义综合检查</x:v>
      </x:c>
      <x:c r="D83" s="30" t="str">
        <x:v>除 ALT 缺失外，同时检查 ALT 质量、实际尺寸、width/height、lazy-load、图片链接语义。</x:v>
      </x:c>
      <x:c r="E83" s="30" t="str">
        <x:v>Medium</x:v>
      </x:c>
      <x:c r="F83" s="30" t="str">
        <x:v>Images 报告、Missing ALT、Large Images、链接图片抽查。</x:v>
      </x:c>
      <x:c r="G83" s="30" t="str">
        <x:v>Screaming Frog, PageSpeed Insights</x:v>
      </x:c>
      <x:c r="H83" s="30" t="str">
        <x:v>内容图片写描述性 ALT；装饰图 alt='';压缩并设置 width/height/srcset。</x:v>
      </x:c>
      <x:c r="I83" s="30" t="str">
        <x:v>Content/Dev</x:v>
      </x:c>
      <x:c r="J83" s="30" t="str">
        <x:v>Open</x:v>
      </x:c>
      <x:c r="K83" s="30" t="str">
        <x:v>核心图片无过大资源、布局偏移和无意义/关键词堆砌 ALT。</x:v>
      </x:c>
      <x:c r="L83" s="30" t="str">
        <x:v>Warning</x:v>
      </x:c>
      <x:c r="M83" s="30" t="str">
        <x:v>Performance/Accessibility</x:v>
      </x:c>
      <x:c r="N83" s="30" t="str">
        <x:v>ALT 主要服务可访问性与图片理解。</x:v>
      </x:c>
    </x:row>
    <x:row r="84" ht="66" customHeight="1">
      <x:c r="A84" s="30" t="n">
        <x:v>80</x:v>
      </x:c>
      <x:c r="B84" s="30" t="str">
        <x:v>基础设施</x:v>
      </x:c>
      <x:c r="C84" s="30" t="str">
        <x:v>可用性与 5xx 监控</x:v>
      </x:c>
      <x:c r="D84" s="30" t="str">
        <x:v>持续监控源站、DNS、CDN、SSL 与关键 URL 是否出现间歇性 5xx/超时。</x:v>
      </x:c>
      <x:c r="E84" s="30" t="str">
        <x:v>High</x:v>
      </x:c>
      <x:c r="F84" s="30" t="str">
        <x:v>多地区定时 HTTP 检测并结合日志。</x:v>
      </x:c>
      <x:c r="G84" s="30" t="str">
        <x:v>UptimeRobot, Cloudflare, Server Logs</x:v>
      </x:c>
      <x:c r="H84" s="30" t="str">
        <x:v>配置告警、资源监控、自动备份与快速回滚。</x:v>
      </x:c>
      <x:c r="I84" s="30" t="str">
        <x:v>Dev/Infra</x:v>
      </x:c>
      <x:c r="J84" s="30" t="str">
        <x:v>Open</x:v>
      </x:c>
      <x:c r="K84" s="30" t="str">
        <x:v>核心页面可用率达到业务目标，无持续 5xx 峰值或证书/DNS故障。</x:v>
      </x:c>
      <x:c r="L84" s="30" t="str">
        <x:v>Error</x:v>
      </x:c>
      <x:c r="M84" s="30" t="str">
        <x:v>Availability/Crawling</x:v>
      </x:c>
      <x:c r="N84" s="30" t="str">
        <x:v>单次爬虫可能发现不了间歇性故障。</x:v>
      </x:c>
    </x:row>
  </x:sheetData>
  <x:mergeCells>
    <x:mergeCell ref="A1:N1"/>
    <x:mergeCell ref="A2:N2"/>
  </x:mergeCells>
  <x:conditionalFormatting sqref="E5:E84">
    <x:cfRule type="expression" dxfId="0" priority="1">
      <x:formula>E5="Critical"</x:formula>
    </x:cfRule>
    <x:cfRule type="expression" dxfId="1" priority="2">
      <x:formula>E5="High"</x:formula>
    </x:cfRule>
    <x:cfRule type="expression" dxfId="2" priority="3">
      <x:formula>E5="Medium"</x:formula>
    </x:cfRule>
    <x:cfRule type="expression" dxfId="3" priority="4">
      <x:formula>E5="Low"</x:formula>
    </x:cfRule>
  </x:conditionalFormatting>
  <x:conditionalFormatting sqref="J5:J84">
    <x:cfRule type="expression" dxfId="4" priority="5">
      <x:formula>J5="Done"</x:formula>
    </x:cfRule>
    <x:cfRule type="expression" dxfId="5" priority="6">
      <x:formula>J5="In Progress"</x:formula>
    </x:cfRule>
    <x:cfRule type="expression" dxfId="6" priority="7">
      <x:formula>J5="Blocked"</x:formula>
    </x:cfRule>
  </x:conditionalFormatting>
  <x:conditionalFormatting sqref="L5:L84">
    <x:cfRule type="expression" dxfId="7" priority="8">
      <x:formula>L5="Error"</x:formula>
    </x:cfRule>
    <x:cfRule type="expression" dxfId="8" priority="9">
      <x:formula>L5="Warning"</x:formula>
    </x:cfRule>
    <x:cfRule type="expression" dxfId="9" priority="10">
      <x:formula>L5="Opportunity"</x:formula>
    </x:cfRule>
    <x:cfRule type="expression" dxfId="10" priority="11">
      <x:formula>L5="Intentional"</x:formula>
    </x:cfRule>
  </x:conditionalFormatting>
  <x:dataValidations count="3">
    <x:dataValidation type="list" sqref="E5:E84">
      <x:formula1>"Critical,High,Medium,Low"</x:formula1>
    </x:dataValidation>
    <x:dataValidation type="list" sqref="J5:J84">
      <x:formula1>"Open,In Progress,Done,Blocked,Accepted,N/A"</x:formula1>
    </x:dataValidation>
    <x:dataValidation type="list" sqref="L5:L84">
      <x:formula1>"Error,Warning,Opportunity,Intentional,Not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423d51f8014c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 ht="28" customHeight="1">
      <x:c r="A1" s="4" t="str">
        <x:v>Master Audit Checklist — 总览</x:v>
      </x:c>
    </x:row>
    <x:row r="3" ht="22" customHeight="1">
      <x:c r="A3" s="19" t="str">
        <x:v>指标</x:v>
      </x:c>
      <x:c r="B3" s="19" t="str">
        <x:v>数量</x:v>
      </x:c>
    </x:row>
    <x:row r="4" ht="22" customHeight="1">
      <x:c r="A4" t="str">
        <x:v>总检查项</x:v>
      </x:c>
      <x:c r="B4" t="n">
        <x:f>COUNTA('Master Audit Checklist'!A5:A84)</x:f>
        <x:v>80</x:v>
      </x:c>
    </x:row>
    <x:row r="5" ht="22" customHeight="1">
      <x:c r="A5" t="str">
        <x:v>Critical</x:v>
      </x:c>
      <x:c r="B5" t="n">
        <x:f>COUNTIF('Master Audit Checklist'!E5:E84,"Critical")</x:f>
        <x:v>11</x:v>
      </x:c>
    </x:row>
    <x:row r="6" ht="22" customHeight="1">
      <x:c r="A6" t="str">
        <x:v>High</x:v>
      </x:c>
      <x:c r="B6" t="n">
        <x:f>COUNTIF('Master Audit Checklist'!E5:E84,"High")</x:f>
        <x:v>44</x:v>
      </x:c>
    </x:row>
    <x:row r="7" ht="22" customHeight="1">
      <x:c r="A7" t="str">
        <x:v>Medium</x:v>
      </x:c>
      <x:c r="B7" t="n">
        <x:f>COUNTIF('Master Audit Checklist'!E5:E84,"Medium")</x:f>
        <x:v>23</x:v>
      </x:c>
    </x:row>
    <x:row r="8" ht="22" customHeight="1">
      <x:c r="A8" t="str">
        <x:v>Low</x:v>
      </x:c>
      <x:c r="B8" t="n">
        <x:f>COUNTIF('Master Audit Checklist'!E5:E84,"Low")</x:f>
        <x:v>2</x:v>
      </x:c>
    </x:row>
    <x:row r="9" ht="22" customHeight="1"/>
    <x:row r="10" ht="22" customHeight="1"/>
    <x:row r="11" ht="22" customHeight="1">
      <x:c r="A11" s="19" t="str">
        <x:v>分类</x:v>
      </x:c>
      <x:c r="B11" s="19" t="str">
        <x:v>检查项数量</x:v>
      </x:c>
    </x:row>
    <x:row r="12" ht="22" customHeight="1">
      <x:c r="A12" t="str">
        <x:v>抓取与索引</x:v>
      </x:c>
      <x:c r="B12" t="n">
        <x:f>COUNTIF('Master Audit Checklist'!B5:B84,A12)</x:f>
        <x:v>10</x:v>
      </x:c>
    </x:row>
    <x:row r="13" ht="22" customHeight="1">
      <x:c r="A13" t="str">
        <x:v>URL 与重定向</x:v>
      </x:c>
      <x:c r="B13" t="n">
        <x:f>COUNTIF('Master Audit Checklist'!B5:B84,A13)</x:f>
        <x:v>6</x:v>
      </x:c>
    </x:row>
    <x:row r="14" ht="22" customHeight="1">
      <x:c r="A14" t="str">
        <x:v>站点架构</x:v>
      </x:c>
      <x:c r="B14" t="n">
        <x:f>COUNTIF('Master Audit Checklist'!B5:B84,A14)</x:f>
        <x:v>4</x:v>
      </x:c>
    </x:row>
    <x:row r="15" ht="22" customHeight="1">
      <x:c r="A15" t="str">
        <x:v>内容与元数据</x:v>
      </x:c>
      <x:c r="B15" t="n">
        <x:f>COUNTIF('Master Audit Checklist'!B5:B84,A15)</x:f>
        <x:v>6</x:v>
      </x:c>
    </x:row>
    <x:row r="16" ht="22" customHeight="1">
      <x:c r="A16" t="str">
        <x:v>技术性能</x:v>
      </x:c>
      <x:c r="B16" t="n">
        <x:f>COUNTIF('Master Audit Checklist'!B5:B84,A16)</x:f>
        <x:v>8</x:v>
      </x:c>
    </x:row>
    <x:row r="17" ht="22" customHeight="1">
      <x:c r="A17" t="str">
        <x:v>移动体验</x:v>
      </x:c>
      <x:c r="B17" t="n">
        <x:f>COUNTIF('Master Audit Checklist'!B5:B84,A17)</x:f>
        <x:v>1</x:v>
      </x:c>
    </x:row>
    <x:row r="18" ht="22" customHeight="1">
      <x:c r="A18" t="str">
        <x:v>安全与 Header</x:v>
      </x:c>
      <x:c r="B18" t="n">
        <x:f>COUNTIF('Master Audit Checklist'!B5:B84,A18)</x:f>
        <x:v>2</x:v>
      </x:c>
    </x:row>
    <x:row r="19" ht="22" customHeight="1">
      <x:c r="A19" t="str">
        <x:v>结构化数据</x:v>
      </x:c>
      <x:c r="B19" t="n">
        <x:f>COUNTIF('Master Audit Checklist'!B5:B84,A19)</x:f>
        <x:v>3</x:v>
      </x:c>
    </x:row>
    <x:row r="20" ht="22" customHeight="1">
      <x:c r="A20" t="str">
        <x:v>国际化 / 多语言</x:v>
      </x:c>
      <x:c r="B20" t="n">
        <x:f>COUNTIF('Master Audit Checklist'!B5:B84,A20)</x:f>
        <x:v>4</x:v>
      </x:c>
    </x:row>
    <x:row r="21" ht="22" customHeight="1">
      <x:c r="A21" t="str">
        <x:v>链接分析</x:v>
      </x:c>
      <x:c r="B21" t="n">
        <x:f>COUNTIF('Master Audit Checklist'!B5:B84,A21)</x:f>
        <x:v>3</x:v>
      </x:c>
    </x:row>
    <x:row r="22" ht="22" customHeight="1">
      <x:c r="A22" t="str">
        <x:v>媒体与富媒体</x:v>
      </x:c>
      <x:c r="B22" t="n">
        <x:f>COUNTIF('Master Audit Checklist'!B5:B84,A22)</x:f>
        <x:v>2</x:v>
      </x:c>
    </x:row>
    <x:row r="23" ht="22" customHeight="1">
      <x:c r="A23" t="str">
        <x:v>日志与抓取分析</x:v>
      </x:c>
      <x:c r="B23" t="n">
        <x:f>COUNTIF('Master Audit Checklist'!B5:B84,A23)</x:f>
        <x:v>1</x:v>
      </x:c>
    </x:row>
    <x:row r="24" ht="22" customHeight="1">
      <x:c r="A24" t="str">
        <x:v>监控与跟踪</x:v>
      </x:c>
      <x:c r="B24" t="n">
        <x:f>COUNTIF('Master Audit Checklist'!B5:B84,A24)</x:f>
        <x:v>5</x:v>
      </x:c>
    </x:row>
    <x:row r="25" ht="22" customHeight="1">
      <x:c r="A25" t="str">
        <x:v>WordPress 专项</x:v>
      </x:c>
      <x:c r="B25" t="n">
        <x:f>COUNTIF('Master Audit Checklist'!B5:B84,A25)</x:f>
        <x:v>10</x:v>
      </x:c>
    </x:row>
    <x:row r="26" ht="22" customHeight="1">
      <x:c r="A26" t="str">
        <x:v>维护与流程</x:v>
      </x:c>
      <x:c r="B26" t="n">
        <x:f>COUNTIF('Master Audit Checklist'!B5:B84,A26)</x:f>
        <x:v>1</x:v>
      </x:c>
    </x:row>
    <x:row r="27" ht="22" customHeight="1">
      <x:c r="A27" t="str">
        <x:v>JavaScript SEO</x:v>
      </x:c>
      <x:c r="B27" t="n">
        <x:f>COUNTIF('Master Audit Checklist'!B5:B84,A27)</x:f>
        <x:v>3</x:v>
      </x:c>
    </x:row>
    <x:row r="28" ht="22" customHeight="1">
      <x:c r="A28" t="str">
        <x:v>内容与关键词</x:v>
      </x:c>
      <x:c r="B28" t="n">
        <x:f>COUNTIF('Master Audit Checklist'!B5:B84,A28)</x:f>
        <x:v>3</x:v>
      </x:c>
    </x:row>
    <x:row r="29" ht="22" customHeight="1">
      <x:c r="A29" t="str">
        <x:v>内容质量</x:v>
      </x:c>
      <x:c r="B29" t="n">
        <x:f>COUNTIF('Master Audit Checklist'!B5:B84,A29)</x:f>
        <x:v>2</x:v>
      </x:c>
    </x:row>
    <x:row r="30" ht="22" customHeight="1">
      <x:c r="A30" t="str">
        <x:v>信任与 E-E-A-T</x:v>
      </x:c>
      <x:c r="B30" t="n">
        <x:f>COUNTIF('Master Audit Checklist'!B5:B84,A30)</x:f>
        <x:v>1</x:v>
      </x:c>
    </x:row>
    <x:row r="31" ht="22" customHeight="1">
      <x:c r="A31" t="str">
        <x:v>用户体验 / Accessibility</x:v>
      </x:c>
      <x:c r="B31" t="n">
        <x:f>COUNTIF('Master Audit Checklist'!B5:B84,A31)</x:f>
        <x:v>1</x:v>
      </x:c>
    </x:row>
    <x:row r="32" ht="22" customHeight="1">
      <x:c r="A32" t="str">
        <x:v>转化与功能</x:v>
      </x:c>
      <x:c r="B32" t="n">
        <x:f>COUNTIF('Master Audit Checklist'!B5:B84,A32)</x:f>
        <x:v>1</x:v>
      </x:c>
    </x:row>
    <x:row r="33" ht="22" customHeight="1">
      <x:c r="A33" t="str">
        <x:v>排名与竞争</x:v>
      </x:c>
      <x:c r="B33" t="n">
        <x:f>COUNTIF('Master Audit Checklist'!B5:B84,A33)</x:f>
        <x:v>2</x:v>
      </x:c>
    </x:row>
    <x:row r="34" ht="22" customHeight="1">
      <x:c r="A34" t="str">
        <x:v>基础设施</x:v>
      </x:c>
      <x:c r="B34" t="n">
        <x:f>COUNTIF('Master Audit Checklist'!B5:B84,A34)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a8a9a8069d3449f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2" hidden="0" customWidth="1"/>
    <x:col min="4" max="4" width="46" hidden="0" customWidth="1"/>
  </x:cols>
  <x:sheetData>
    <x:row r="1" ht="26" customHeight="1">
      <x:c r="A1" s="33" t="str">
        <x:v>字段定义与使用规则</x:v>
      </x:c>
    </x:row>
    <x:row r="3">
      <x:c r="A3" s="20" t="str">
        <x:v>字段</x:v>
      </x:c>
      <x:c r="B3" s="20" t="str">
        <x:v>可选值/说明</x:v>
      </x:c>
      <x:c r="C3" s="20" t="str">
        <x:v>什么时候用</x:v>
      </x:c>
      <x:c r="D3" s="20" t="str">
        <x:v>备注</x:v>
      </x:c>
    </x:row>
    <x:row r="4" ht="52" customHeight="1">
      <x:c r="A4" s="28" t="str">
        <x:v>priority</x:v>
      </x:c>
      <x:c r="B4" s="28" t="str">
        <x:v>Critical / High / Medium / Low</x:v>
      </x:c>
      <x:c r="C4" s="28" t="str">
        <x:v>确定整改优先级</x:v>
      </x:c>
      <x:c r="D4" s="28" t="str">
        <x:v>Critical 通常对应索引、安全、转化或重大可用性风险</x:v>
      </x:c>
    </x:row>
    <x:row r="5" ht="52" customHeight="1">
      <x:c r="A5" s="28" t="str">
        <x:v>status</x:v>
      </x:c>
      <x:c r="B5" s="28" t="str">
        <x:v>Open / In Progress / Done / Blocked / Accepted / N/A</x:v>
      </x:c>
      <x:c r="C5" s="28" t="str">
        <x:v>记录整改进度</x:v>
      </x:c>
      <x:c r="D5" s="28" t="str">
        <x:v>Accepted 适合策略性保留的问题；N/A 表示不适用</x:v>
      </x:c>
    </x:row>
    <x:row r="6" ht="52" customHeight="1">
      <x:c r="A6" s="28" t="str">
        <x:v>finding_type</x:v>
      </x:c>
      <x:c r="B6" s="28" t="str">
        <x:v>Error / Warning / Opportunity / Intentional / Not Applicable</x:v>
      </x:c>
      <x:c r="C6" s="28" t="str">
        <x:v>区分真正错误与策略性配置</x:v>
      </x:c>
      <x:c r="D6" s="28" t="str">
        <x:v>例如暂时 noindex 的页面可标记 Intentional</x:v>
      </x:c>
    </x:row>
    <x:row r="7" ht="52" customHeight="1">
      <x:c r="A7" s="28" t="str">
        <x:v>seo_impact</x:v>
      </x:c>
      <x:c r="B7" s="28" t="str">
        <x:v>Indexing / Ranking / Crawling / CTR / Performance / Conversion / Security / Maintenance 等</x:v>
      </x:c>
      <x:c r="C7" s="28" t="str">
        <x:v>说明主要影响面</x:v>
      </x:c>
      <x:c r="D7" s="28" t="str">
        <x:v>可同时填写多个影响，用 / 分隔</x:v>
      </x:c>
    </x:row>
    <x:row r="8" ht="52" customHeight="1">
      <x:c r="A8" s="28" t="str">
        <x:v>验收原则</x:v>
      </x:c>
      <x:c r="B8" s="28" t="str">
        <x:v>以结果为准，不以工具告警清零为唯一目标</x:v>
      </x:c>
      <x:c r="C8" s="28" t="str">
        <x:v>修复后重新 Crawl + GSC/PSI/实机验证</x:v>
      </x:c>
      <x:c r="D8" s="28" t="str">
        <x:v>有意保留的 noindex、404、canonical 等应记录为 Intentional/Accepted</x:v>
      </x:c>
    </x:row>
  </x:sheetData>
  <x:mergeCells>
    <x:mergeCell ref="A1:D1"/>
  </x:mergeCells>
  <x:pageMargins left="0.7" right="0.7" top="0.75" bottom="0.75" header="0.3" footer="0.3"/>
</x:worksheet>
</file>